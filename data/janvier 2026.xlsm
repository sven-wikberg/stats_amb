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benjaminorange/Desktop/"/>
    </mc:Choice>
  </mc:AlternateContent>
  <xr:revisionPtr revIDLastSave="0" documentId="13_ncr:9_{0E8EEB69-60EA-2149-97A0-7E8FE7861476}" xr6:coauthVersionLast="47" xr6:coauthVersionMax="47" xr10:uidLastSave="{00000000-0000-0000-0000-000000000000}"/>
  <bookViews>
    <workbookView xWindow="380" yWindow="500" windowWidth="28040" windowHeight="16940" xr2:uid="{ECD67B06-55DE-324A-9788-8AEB924B48B7}"/>
  </bookViews>
  <sheets>
    <sheet name="janvier 2026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" i="1" l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</calcChain>
</file>

<file path=xl/sharedStrings.xml><?xml version="1.0" encoding="utf-8"?>
<sst xmlns="http://schemas.openxmlformats.org/spreadsheetml/2006/main" count="8847" uniqueCount="268">
  <si>
    <t>N1</t>
  </si>
  <si>
    <t>P1</t>
  </si>
  <si>
    <t>Jayson Rita Persio</t>
  </si>
  <si>
    <t>Leo Thompson</t>
  </si>
  <si>
    <t>Aucune</t>
  </si>
  <si>
    <t>Ambulance (1)</t>
  </si>
  <si>
    <t>Sans</t>
  </si>
  <si>
    <t>1  Domicile</t>
  </si>
  <si>
    <t>9  CHU</t>
  </si>
  <si>
    <t>30 Malaise cardiaque, douleur thoracique non-traumatique</t>
  </si>
  <si>
    <t>1002 Douleur thoracique</t>
  </si>
  <si>
    <t>Non</t>
  </si>
  <si>
    <t>Maladie</t>
  </si>
  <si>
    <t>Prot.M Douleurs thoraciques DRS</t>
  </si>
  <si>
    <t>Femme</t>
  </si>
  <si>
    <t>J1</t>
  </si>
  <si>
    <t>P2</t>
  </si>
  <si>
    <t>15 Etablissement de soins</t>
  </si>
  <si>
    <t>Collonge-Bellerive 6616</t>
  </si>
  <si>
    <t>42 Cas de psychiatrie (agitation, angoisse)</t>
  </si>
  <si>
    <t>Aucun</t>
  </si>
  <si>
    <t>J2</t>
  </si>
  <si>
    <t>Marius  May</t>
  </si>
  <si>
    <t>Benjamin Orange</t>
  </si>
  <si>
    <t>13 Permanence</t>
  </si>
  <si>
    <t>P3</t>
  </si>
  <si>
    <t>Fanny Clivaz</t>
  </si>
  <si>
    <t>Cointrin 6630</t>
  </si>
  <si>
    <t>Accident</t>
  </si>
  <si>
    <t>Homme</t>
  </si>
  <si>
    <t>Hermance 6625</t>
  </si>
  <si>
    <t>61 Douleurs lombaires non-traumatiques</t>
  </si>
  <si>
    <t>ThÙnex 6640</t>
  </si>
  <si>
    <t>90 Autre</t>
  </si>
  <si>
    <t>1908 Suite d'hospitalisation</t>
  </si>
  <si>
    <t>10 Coma non-traumatique</t>
  </si>
  <si>
    <t>Prot.M Troubles de la conscience</t>
  </si>
  <si>
    <t>Sven Wikberg</t>
  </si>
  <si>
    <t>14 EMS</t>
  </si>
  <si>
    <t>Choulex 6614</t>
  </si>
  <si>
    <t>1103 Confusions - trouble du comportement - trouble cognitifs</t>
  </si>
  <si>
    <t>Luca Palmieri</t>
  </si>
  <si>
    <t>Alberina Demiri</t>
  </si>
  <si>
    <t>2  Voie publique</t>
  </si>
  <si>
    <t>Prot.T Antalgie traumatique</t>
  </si>
  <si>
    <t>N2</t>
  </si>
  <si>
    <t>Corsier 6619</t>
  </si>
  <si>
    <t>17 Sans transport</t>
  </si>
  <si>
    <t>1108 Malaise avec ou sans PC</t>
  </si>
  <si>
    <t>Aline Arnoldi</t>
  </si>
  <si>
    <t>Stagiaire d'observation</t>
  </si>
  <si>
    <t>1112 Abus/intoxication alcoolique</t>
  </si>
  <si>
    <t>3  Lieu public</t>
  </si>
  <si>
    <t>1903 Ingestion/Inhalation/exposition ‡ un toxique</t>
  </si>
  <si>
    <t>Cologny 6617</t>
  </si>
  <si>
    <t>Philippe Guye-Bergeret</t>
  </si>
  <si>
    <t>J3</t>
  </si>
  <si>
    <t>Emma Bandini</t>
  </si>
  <si>
    <t>33 Troubles du rythme et/ou de la conduction</t>
  </si>
  <si>
    <t>1003 Tachcardie - trouble du rythme - palpitations</t>
  </si>
  <si>
    <t>Prot.M Troubles du rythme</t>
  </si>
  <si>
    <t>Ambulance-SMUR (3)</t>
  </si>
  <si>
    <t>Prot.M Douleurs thoraciques DRS, Prot.M Troubles du rythme</t>
  </si>
  <si>
    <t>Livia Haegi</t>
  </si>
  <si>
    <t>8  Autre</t>
  </si>
  <si>
    <t>Puplinge 6636</t>
  </si>
  <si>
    <t>60 Douleurs abdominales non-traumatiques</t>
  </si>
  <si>
    <t>Mila Weiss</t>
  </si>
  <si>
    <t>Eric Morel</t>
  </si>
  <si>
    <t>Tony Billieux</t>
  </si>
  <si>
    <t>Bernex 6607</t>
  </si>
  <si>
    <t>Carouge 6608</t>
  </si>
  <si>
    <t>Aucun (naca 9)</t>
  </si>
  <si>
    <t>Naca 9</t>
  </si>
  <si>
    <t>51 Trauma des membres (y. c. luxation)</t>
  </si>
  <si>
    <t>1210 Traumatisme d'un membre</t>
  </si>
  <si>
    <t>80 Br˚lure</t>
  </si>
  <si>
    <t>1214 Br˚lures</t>
  </si>
  <si>
    <t xml:space="preserve">Lara  Tessari </t>
  </si>
  <si>
    <t>1116 Vertiges</t>
  </si>
  <si>
    <t>1005 Hypertension</t>
  </si>
  <si>
    <t>Tim Blattmann</t>
  </si>
  <si>
    <t>Veyrier 6645</t>
  </si>
  <si>
    <t>Refus de soins</t>
  </si>
  <si>
    <t>1213 Plaie superficielle</t>
  </si>
  <si>
    <t>1303 Douleurs abdominales</t>
  </si>
  <si>
    <t>7  Clinique</t>
  </si>
  <si>
    <t>4  Travail et formation</t>
  </si>
  <si>
    <t>53 Trauma maxillo-facial</t>
  </si>
  <si>
    <t>1211 Traumatisme maxillo-facial / du cou</t>
  </si>
  <si>
    <t>S1 sans feux bleus</t>
  </si>
  <si>
    <t>S2</t>
  </si>
  <si>
    <t>S1 feux bleus</t>
  </si>
  <si>
    <t>Oui</t>
  </si>
  <si>
    <t>11 HÙpital de zone</t>
  </si>
  <si>
    <t>Meyrin 6630</t>
  </si>
  <si>
    <t>1209 Traumatisme du bassin</t>
  </si>
  <si>
    <t>Les Avanchets 6643</t>
  </si>
  <si>
    <t>Ewan Abbt</t>
  </si>
  <si>
    <t>LoÔc Ramen</t>
  </si>
  <si>
    <t>13 Crise convulsive</t>
  </si>
  <si>
    <t>62 Soins impossibles ‡ domicile</t>
  </si>
  <si>
    <t>Meinier 6629</t>
  </si>
  <si>
    <t>Salita  Bellotti</t>
  </si>
  <si>
    <t>Lancy 6628</t>
  </si>
  <si>
    <t>55 Trauma thoracique</t>
  </si>
  <si>
    <t>1205 Traumatisme / contusion thoracique</t>
  </si>
  <si>
    <t>Prot.M Hyperthermie</t>
  </si>
  <si>
    <t>1907 Hospitalisation sociale</t>
  </si>
  <si>
    <t>Vandoeuvres 6642</t>
  </si>
  <si>
    <t>54 Trauma de la colonne</t>
  </si>
  <si>
    <t>Olivia Mowat</t>
  </si>
  <si>
    <t>1310 Douleurs pelviennes / inguinales</t>
  </si>
  <si>
    <t>Prot.M Antalgie non traumatique</t>
  </si>
  <si>
    <t>Jussy 6626</t>
  </si>
  <si>
    <t>Jerome Dujoux</t>
  </si>
  <si>
    <t>1602 Epistaxis</t>
  </si>
  <si>
    <t>NP3</t>
  </si>
  <si>
    <t>1006 Hypotension</t>
  </si>
  <si>
    <t>Jonathan Dupont</t>
  </si>
  <si>
    <t>ACS</t>
  </si>
  <si>
    <t>0001-01-01</t>
  </si>
  <si>
    <t>1502 Syndrome grippal</t>
  </si>
  <si>
    <t>1801 Cervicalgies - dorsalgies - lombalgies</t>
  </si>
  <si>
    <t>57 Trauma pelvien</t>
  </si>
  <si>
    <t>12 HÙpital psychiatrique</t>
  </si>
  <si>
    <t>1114 Halucinations</t>
  </si>
  <si>
    <t>Prot.P Antalgie</t>
  </si>
  <si>
    <t>1212 Plaie profonde</t>
  </si>
  <si>
    <t>Hymad Alidjra</t>
  </si>
  <si>
    <t>Gy 6624</t>
  </si>
  <si>
    <t>Laurie Bloudeau</t>
  </si>
  <si>
    <t>Presinge 6635</t>
  </si>
  <si>
    <t>1306 Constipation</t>
  </si>
  <si>
    <t>50 Polytraumatisme</t>
  </si>
  <si>
    <t>11 Troubles de la vigilance</t>
  </si>
  <si>
    <t>1113 SymptÙmes de sevrage / Demande de sevrage</t>
  </si>
  <si>
    <t>5  Sport et loisirs</t>
  </si>
  <si>
    <t>Prot.M Etat de choc non traumatique, Prot.M Troubles de la conscience</t>
  </si>
  <si>
    <t>82 Electrisation sans ACR</t>
  </si>
  <si>
    <t>1905 Electrisation</t>
  </si>
  <si>
    <t>10 HÙpital cantonal</t>
  </si>
  <si>
    <t>Confignon 6618</t>
  </si>
  <si>
    <t>Onex 6631</t>
  </si>
  <si>
    <t>NACA 7</t>
  </si>
  <si>
    <t>01 ACR</t>
  </si>
  <si>
    <t>1312 Saignement vaginal</t>
  </si>
  <si>
    <t>Ch‚telaine 6643</t>
  </si>
  <si>
    <t>Xavier Schorno</t>
  </si>
  <si>
    <t>Prot.T Traumatisme thoracique, Prot.T Antalgie traumatique</t>
  </si>
  <si>
    <t>1601 Affection ORL</t>
  </si>
  <si>
    <t>Elena Pitzalis</t>
  </si>
  <si>
    <t>Prot.M Douleurs thoraciques DRS, Prot.M Antalgie non traumatique</t>
  </si>
  <si>
    <t>Indisponible</t>
  </si>
  <si>
    <t>Date</t>
  </si>
  <si>
    <t>Jour de la semaine</t>
  </si>
  <si>
    <t xml:space="preserve">Jour / Nuit </t>
  </si>
  <si>
    <t>FIP</t>
  </si>
  <si>
    <t>FOLIO</t>
  </si>
  <si>
    <t xml:space="preserve">Horaire </t>
  </si>
  <si>
    <t>Priorité</t>
  </si>
  <si>
    <t>Leader</t>
  </si>
  <si>
    <t>Equipier.iére</t>
  </si>
  <si>
    <t>Troisiéme</t>
  </si>
  <si>
    <t>Ambulance</t>
  </si>
  <si>
    <t>Intervenants</t>
  </si>
  <si>
    <t>Médicalisation</t>
  </si>
  <si>
    <t>Alarme</t>
  </si>
  <si>
    <t>Départ</t>
  </si>
  <si>
    <t xml:space="preserve">Sur site </t>
  </si>
  <si>
    <t>Québec</t>
  </si>
  <si>
    <t>Hôpital</t>
  </si>
  <si>
    <t>Libre</t>
  </si>
  <si>
    <t>Lieu de PEC</t>
  </si>
  <si>
    <t xml:space="preserve">Commune de PEC </t>
  </si>
  <si>
    <t>Destination de PEC</t>
  </si>
  <si>
    <t>Type 17</t>
  </si>
  <si>
    <t xml:space="preserve">Code FIP </t>
  </si>
  <si>
    <t xml:space="preserve">Motif EST </t>
  </si>
  <si>
    <t xml:space="preserve">Degré EST </t>
  </si>
  <si>
    <t>NACA</t>
  </si>
  <si>
    <t>Médecin ?</t>
  </si>
  <si>
    <t xml:space="preserve">Trauma / Médical </t>
  </si>
  <si>
    <t xml:space="preserve">Protocoles </t>
  </si>
  <si>
    <t>Sexe</t>
  </si>
  <si>
    <t xml:space="preserve">Date de naissance </t>
  </si>
  <si>
    <t>Age</t>
  </si>
  <si>
    <t>0000 Naca 9 ou pédiatrie</t>
  </si>
  <si>
    <t>Pédiatrie</t>
  </si>
  <si>
    <t>Aurélie Juge Judas</t>
  </si>
  <si>
    <t>20 Détresse ou insuffisance respiratoire</t>
  </si>
  <si>
    <t>1008 Dyspnée - tachypnée - bradypnée - désaturation</t>
  </si>
  <si>
    <t>52 Trauma cranio-cérébral</t>
  </si>
  <si>
    <t>1207 Traumatisme cr‚nien avec PC/amnésie circonstancielle</t>
  </si>
  <si>
    <t>1401 Douleur loge rénale</t>
  </si>
  <si>
    <t>Simultanée</t>
  </si>
  <si>
    <t>1101 Coma - trouble état de conscience  sans cause évidente</t>
  </si>
  <si>
    <t xml:space="preserve">Clément  Perez </t>
  </si>
  <si>
    <t>1208 Traumatisme cr‚nien sans PC ni amnésie</t>
  </si>
  <si>
    <t>Patient laissé sur place sur décision de l'ambulancier</t>
  </si>
  <si>
    <t>43 Intoxication sans trauma (OH,  médicaments, drogues, CO, fumée)</t>
  </si>
  <si>
    <t>1914 Conseil - attestation - ordonnance - inquiétude parentale</t>
  </si>
  <si>
    <t>Benjamin Bédat</t>
  </si>
  <si>
    <t>Amélie Schmid</t>
  </si>
  <si>
    <t>Annulée</t>
  </si>
  <si>
    <t>1904 Ingestion/inhalation/insertion de corps étranger</t>
  </si>
  <si>
    <t>63 Baisse de l'état général</t>
  </si>
  <si>
    <t>1911 Baisse de l'état général</t>
  </si>
  <si>
    <t>1912 Chute(s) de la persoanne ‚gée</t>
  </si>
  <si>
    <t>34 Poussée ou urgence hypertensive</t>
  </si>
  <si>
    <t>1111 Abus/intoxication médicaments - drogues</t>
  </si>
  <si>
    <t>1109 Crise d'angoisse - idéation suicidaire - mutisme</t>
  </si>
  <si>
    <t>Prot.M Détresse respiratoire</t>
  </si>
  <si>
    <t>Zoé Currat</t>
  </si>
  <si>
    <t>40 Déficite neurologique sans coma et non-traumatique</t>
  </si>
  <si>
    <t>1105 Aphasie - dysarthrie - amnésie - diplopie - paralysie - parésie - paresthésie - troubles de l'équilibre - vertiges - amputation du champ visuel</t>
  </si>
  <si>
    <t>Patient laissé sur place sur décision du médecin</t>
  </si>
  <si>
    <t>1104 Convulsion en cours ou récente - Mouvements involonaires</t>
  </si>
  <si>
    <t>6  Cabinet médical</t>
  </si>
  <si>
    <t>Prot.P Détresse respiratoire</t>
  </si>
  <si>
    <t>1102 Agitation - Agressivité</t>
  </si>
  <si>
    <t>1909 Examens paracliniques perturbés</t>
  </si>
  <si>
    <t>1106 Céphalées violentes ou inhabituelles</t>
  </si>
  <si>
    <t>1204 Traumatisme du rachis sans déficit</t>
  </si>
  <si>
    <t>Prot.M Détresse respiratoire, Prot.M Troubles du rythme</t>
  </si>
  <si>
    <t>Prévention et soutien</t>
  </si>
  <si>
    <t>100 Evénement majeur</t>
  </si>
  <si>
    <t>Ambulance-hélico (2)</t>
  </si>
  <si>
    <t>Engagé par REGA</t>
  </si>
  <si>
    <t>Autre médecin (4)</t>
  </si>
  <si>
    <t>1304 Nausées - vomissements - régurgitations</t>
  </si>
  <si>
    <t>44 Cas d'allergie (sans état de choc anaphylactique)</t>
  </si>
  <si>
    <t>1701 Réactions allergiques</t>
  </si>
  <si>
    <t>Prot.M Réaction anaphylactique</t>
  </si>
  <si>
    <t>Cédric Golaz</t>
  </si>
  <si>
    <t>1802 Arthralgies - myalgies - névralgies - boiterie</t>
  </si>
  <si>
    <t>1110 Anxiété - dépression</t>
  </si>
  <si>
    <t>1406 Polyurie - polydipsie - Hyperglycémie - Hypoglycémie</t>
  </si>
  <si>
    <t>32 Hémorragie sans trauma</t>
  </si>
  <si>
    <t xml:space="preserve">Léonard  Delavy </t>
  </si>
  <si>
    <t>Ambulance annulée en route</t>
  </si>
  <si>
    <t>1201 Polytraumatisé</t>
  </si>
  <si>
    <t>Prot.M Nausées, Prot.M Antalgie non traumatique</t>
  </si>
  <si>
    <t>1403 Anurie - rétention urinaire</t>
  </si>
  <si>
    <t>Prot.M Nausées</t>
  </si>
  <si>
    <t>1402 Hématurie macroscopique</t>
  </si>
  <si>
    <t>Prot.M Détresse respiratoire, Prot.M Douleurs thoraciques DRS</t>
  </si>
  <si>
    <t>Céline  Bapst</t>
  </si>
  <si>
    <t>Patient non trouvé</t>
  </si>
  <si>
    <t>1405 Affection testiculaire/pénienne</t>
  </si>
  <si>
    <t>Anières 6602</t>
  </si>
  <si>
    <t>Genève 6621</t>
  </si>
  <si>
    <t>12 Perte de connaissance brève, malaise non cardiaque</t>
  </si>
  <si>
    <t>2ème échelon</t>
  </si>
  <si>
    <t>ambulancière journée intégration</t>
  </si>
  <si>
    <t>Ambulancière stage validation</t>
  </si>
  <si>
    <t>Etudiant 3ème</t>
  </si>
  <si>
    <t>1007 Douleur et/ou oedème d'un membre</t>
  </si>
  <si>
    <t>Etudiant 1ère</t>
  </si>
  <si>
    <t>1501 Fièvre</t>
  </si>
  <si>
    <t>Prot.T Critères de stabilisation, Prot.T Antalgie traumatique</t>
  </si>
  <si>
    <t>Prot.T Critères de stabilisation</t>
  </si>
  <si>
    <t>1301 Hématémèse - méléna</t>
  </si>
  <si>
    <t>Chêne-Bourg 6613</t>
  </si>
  <si>
    <t>41 Maux de tête</t>
  </si>
  <si>
    <t>Chêne-Bougeries 6612</t>
  </si>
  <si>
    <t>1001 Arrêt cardiaque - respiratoire</t>
  </si>
  <si>
    <t>Prot.M Arrêt cardio-respiratoire, Prot.M Arrêt de réanimation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</si>
</sst>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1"/>
      <color rgb="FF000000"/>
      <name val="Aptos Narrow"/>
      <scheme val="minor"/>
    </font>
    <font>
      <sz val="11"/>
      <color rgb="FF00000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3" fillId="33" borderId="10" xfId="0" applyFont="1" applyFill="1" applyBorder="1"/>
    <xf numFmtId="0" fontId="13" fillId="33" borderId="0" xfId="0" applyFont="1" applyFill="1" applyBorder="1"/>
    <xf numFmtId="0" fontId="13" fillId="33" borderId="11" xfId="0" applyFont="1" applyFill="1" applyBorder="1"/>
    <xf numFmtId="0" fontId="18" fillId="0" borderId="0" xfId="0" applyFont="1"/>
    <xf numFmtId="0" fontId="19" fillId="0" borderId="0" xfId="0" applyFon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3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9" formatCode="dd/mm/yy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19" formatCode="dd/mm/yy"/>
    </dxf>
    <dxf>
      <border outline="0">
        <top style="thin">
          <color theme="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79F01D-8B39-324B-BBDE-A05A52BEB0C3}" name="Tableau1" displayName="Tableau1" ref="A1:AG548" totalsRowShown="0" headerRowDxfId="3" tableBorderDxfId="12">
  <autoFilter ref="A1:AG548" xr:uid="{2779F01D-8B39-324B-BBDE-A05A52BEB0C3}"/>
  <tableColumns count="33">
    <tableColumn id="1" xr3:uid="{2F2C3491-C6E8-5D43-96A5-0A42AE667590}" name="Date" dataDxfId="11"/>
    <tableColumn id="2" xr3:uid="{3B95DB99-4A0D-C842-BC8C-7CFB3687D3AB}" name="Jour de la semaine" dataDxfId="2">
      <calculatedColumnFormula>TEXT(A2,"JJJJ")</calculatedColumnFormula>
    </tableColumn>
    <tableColumn id="3" xr3:uid="{6989D0F5-0D9A-2E43-9E5B-E459C8C6E013}" name="Jour / Nuit " dataDxfId="1">
      <calculatedColumnFormula>IF(AND(HOUR(N2)&gt;=7,HOUR(N2)&lt;=19),"Jour","Nuit")</calculatedColumnFormula>
    </tableColumn>
    <tableColumn id="4" xr3:uid="{2F17B33E-EBF0-E34A-BCAA-2EFB3D00EB52}" name="FIP"/>
    <tableColumn id="5" xr3:uid="{91E1FEFA-287F-9A44-BEF3-17551297C65C}" name="FOLIO"/>
    <tableColumn id="6" xr3:uid="{44114F2E-3A8B-554E-9C92-F861C5E00596}" name="Horaire "/>
    <tableColumn id="7" xr3:uid="{FA1F7A06-5F91-E847-9CE2-10E1AA788D1C}" name="Priorité"/>
    <tableColumn id="8" xr3:uid="{92183C50-CCF3-F94A-A780-DEA8D290F98C}" name="Leader"/>
    <tableColumn id="9" xr3:uid="{FF905E73-E744-8242-9E6E-9972171A35C2}" name="Equipier.iére"/>
    <tableColumn id="10" xr3:uid="{A1E07269-9063-804B-B2BF-40E48646839C}" name="Troisiéme"/>
    <tableColumn id="11" xr3:uid="{B75ACCE8-98D5-304A-93E5-833B5D87BCC8}" name="Ambulance"/>
    <tableColumn id="12" xr3:uid="{968F2F23-E844-764F-A859-C9A3951A91B6}" name="Intervenants"/>
    <tableColumn id="13" xr3:uid="{06FB22CD-47CF-104C-BDC7-3C08B2AF2AC8}" name="Médicalisation"/>
    <tableColumn id="14" xr3:uid="{54E3AF4B-BC6E-0046-9E98-E90B00C2F06A}" name="Alarme" dataDxfId="10"/>
    <tableColumn id="15" xr3:uid="{CDE556B8-0868-CE48-A604-72486AFC4F3D}" name="Départ" dataDxfId="9"/>
    <tableColumn id="16" xr3:uid="{66AA8700-D900-194B-867E-7B2E3C0DEFF4}" name="Sur site " dataDxfId="8"/>
    <tableColumn id="17" xr3:uid="{B2F3B46F-9D1B-0A4E-A77C-E50A4AD6D2B0}" name="Québec" dataDxfId="7"/>
    <tableColumn id="18" xr3:uid="{D26C5318-089C-0042-867F-06F4FEA07801}" name="Hôpital" dataDxfId="6"/>
    <tableColumn id="19" xr3:uid="{BF7EFFF1-6FBF-414C-A088-C2F4B98038D5}" name="Libre" dataDxfId="5"/>
    <tableColumn id="20" xr3:uid="{D5BEEA9D-8C74-2349-8CE6-750A0CEC818D}" name="Lieu de PEC"/>
    <tableColumn id="21" xr3:uid="{05E7843D-FA03-6F45-B61D-EBF347BCAFE2}" name="Commune de PEC "/>
    <tableColumn id="22" xr3:uid="{3E9D0008-538A-3649-8A71-FE9386FBB4FB}" name="Destination de PEC"/>
    <tableColumn id="23" xr3:uid="{BA82D944-632B-F84B-B34A-1CF06F6DF4C3}" name="Type 17"/>
    <tableColumn id="24" xr3:uid="{CD1363CC-E81E-0B49-96C4-928BE428388B}" name="Code FIP "/>
    <tableColumn id="25" xr3:uid="{80FCA25E-80D7-924E-882B-B7265DF2CBC3}" name="Motif EST "/>
    <tableColumn id="26" xr3:uid="{2DF65989-1F25-2841-A4C6-C3C03F29DD38}" name="Degré EST "/>
    <tableColumn id="27" xr3:uid="{7DC2681F-C882-1F4A-9BA2-632D7C1E2BDE}" name="NACA"/>
    <tableColumn id="28" xr3:uid="{4B65A269-030A-BD47-A1B3-1F3AEAB1E4D3}" name="Médecin ?"/>
    <tableColumn id="29" xr3:uid="{5B4C8947-118C-9347-A9AA-0C91F4450FA9}" name="Trauma / Médical "/>
    <tableColumn id="30" xr3:uid="{41A8A68D-FCC8-EC47-9514-B7D4C20F38A9}" name="Protocoles "/>
    <tableColumn id="31" xr3:uid="{E903B826-100A-5B44-949E-63A9DABEF149}" name="Sexe"/>
    <tableColumn id="32" xr3:uid="{C81E0582-5FF7-3941-BF01-AAC501CBB70C}" name="Age" dataDxfId="4"/>
    <tableColumn id="33" xr3:uid="{B54C6B95-3BA6-4B4B-8113-88FBE9D377C2}" name="Date de naissance " dataDxfId="0">
      <calculatedColumnFormula>INT((TODAY()-AF2)/365.25)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1B42-1405-5043-A5E0-E2B05DBEE92F}">
  <dimension ref="A1:AG548"/>
  <sheetViews>
    <sheetView tabSelected="1" topLeftCell="R97" workbookViewId="0">
      <selection activeCell="W112" sqref="W112"/>
    </sheetView>
  </sheetViews>
  <sheetFormatPr baseColWidth="10" defaultRowHeight="16" x14ac:dyDescent="0.2"/>
  <cols>
    <col min="2" max="2" width="18.5" customWidth="1"/>
    <col min="3" max="3" width="15.33203125" customWidth="1"/>
    <col min="8" max="8" width="23.5" customWidth="1"/>
    <col min="9" max="9" width="23.6640625" customWidth="1"/>
    <col min="10" max="10" width="19.33203125" customWidth="1"/>
    <col min="11" max="11" width="12.83203125" customWidth="1"/>
    <col min="12" max="12" width="25.83203125" customWidth="1"/>
    <col min="13" max="13" width="15.6640625" customWidth="1"/>
    <col min="20" max="20" width="24.1640625" customWidth="1"/>
    <col min="21" max="21" width="24.83203125" customWidth="1"/>
    <col min="22" max="22" width="21" customWidth="1"/>
    <col min="23" max="23" width="48" customWidth="1"/>
    <col min="24" max="24" width="59.1640625" customWidth="1"/>
    <col min="25" max="25" width="54.33203125" customWidth="1"/>
    <col min="26" max="26" width="12" customWidth="1"/>
    <col min="28" max="28" width="11.83203125" customWidth="1"/>
    <col min="29" max="29" width="17.83203125" customWidth="1"/>
    <col min="30" max="30" width="74.33203125" customWidth="1"/>
    <col min="32" max="32" width="18.6640625" customWidth="1"/>
    <col min="33" max="33" width="19" customWidth="1"/>
  </cols>
  <sheetData>
    <row r="1" spans="1:33" x14ac:dyDescent="0.2">
      <c r="A1" s="3" t="s">
        <v>154</v>
      </c>
      <c r="B1" s="4" t="s">
        <v>155</v>
      </c>
      <c r="C1" s="4" t="s">
        <v>156</v>
      </c>
      <c r="D1" s="4" t="s">
        <v>157</v>
      </c>
      <c r="E1" s="4" t="s">
        <v>158</v>
      </c>
      <c r="F1" s="4" t="s">
        <v>159</v>
      </c>
      <c r="G1" s="4" t="s">
        <v>160</v>
      </c>
      <c r="H1" s="4" t="s">
        <v>161</v>
      </c>
      <c r="I1" s="4" t="s">
        <v>162</v>
      </c>
      <c r="J1" s="4" t="s">
        <v>163</v>
      </c>
      <c r="K1" s="4" t="s">
        <v>164</v>
      </c>
      <c r="L1" s="4" t="s">
        <v>165</v>
      </c>
      <c r="M1" s="4" t="s">
        <v>166</v>
      </c>
      <c r="N1" s="4" t="s">
        <v>167</v>
      </c>
      <c r="O1" s="4" t="s">
        <v>168</v>
      </c>
      <c r="P1" s="4" t="s">
        <v>169</v>
      </c>
      <c r="Q1" s="4" t="s">
        <v>170</v>
      </c>
      <c r="R1" s="4" t="s">
        <v>171</v>
      </c>
      <c r="S1" s="4" t="s">
        <v>172</v>
      </c>
      <c r="T1" s="4" t="s">
        <v>173</v>
      </c>
      <c r="U1" s="4" t="s">
        <v>174</v>
      </c>
      <c r="V1" s="4" t="s">
        <v>175</v>
      </c>
      <c r="W1" s="4" t="s">
        <v>176</v>
      </c>
      <c r="X1" s="4" t="s">
        <v>177</v>
      </c>
      <c r="Y1" s="4" t="s">
        <v>178</v>
      </c>
      <c r="Z1" s="4" t="s">
        <v>179</v>
      </c>
      <c r="AA1" s="4" t="s">
        <v>180</v>
      </c>
      <c r="AB1" s="4" t="s">
        <v>181</v>
      </c>
      <c r="AC1" s="4" t="s">
        <v>182</v>
      </c>
      <c r="AD1" s="4" t="s">
        <v>183</v>
      </c>
      <c r="AE1" s="4" t="s">
        <v>184</v>
      </c>
      <c r="AF1" s="4" t="s">
        <v>186</v>
      </c>
      <c r="AG1" s="5" t="s">
        <v>185</v>
      </c>
    </row>
    <row r="2" spans="1:33" x14ac:dyDescent="0.2">
      <c r="A2" s="1">
        <v>46041</v>
      </c>
      <c r="B2" s="7" t="str">
        <f t="shared" ref="B2:B65" si="0">TEXT(A2,"JJJJ")</f>
        <v>lundi</v>
      </c>
      <c r="C2" t="str">
        <f t="shared" ref="C2:C65" si="1">IF(AND(HOUR(N2)&gt;=7,HOUR(N2)&lt;=19),"Jour","Nuit")</f>
        <v>Nuit</v>
      </c>
      <c r="D2">
        <v>1510917</v>
      </c>
      <c r="E2">
        <v>2587950</v>
      </c>
      <c r="F2" t="s">
        <v>0</v>
      </c>
      <c r="G2" t="s">
        <v>1</v>
      </c>
      <c r="H2" t="s">
        <v>2</v>
      </c>
      <c r="I2" t="s">
        <v>3</v>
      </c>
      <c r="J2" t="s">
        <v>4</v>
      </c>
      <c r="K2">
        <v>60709</v>
      </c>
      <c r="L2" t="s">
        <v>5</v>
      </c>
      <c r="M2" t="s">
        <v>6</v>
      </c>
      <c r="N2" s="2">
        <v>0.12013888888888889</v>
      </c>
      <c r="O2" s="2">
        <v>0.12152777777777778</v>
      </c>
      <c r="P2" s="2">
        <v>0.12569444444444444</v>
      </c>
      <c r="Q2" s="2">
        <v>0.15277777777777779</v>
      </c>
      <c r="R2" s="2">
        <v>0.15625</v>
      </c>
      <c r="S2" s="2">
        <v>0.1875</v>
      </c>
      <c r="T2" t="s">
        <v>7</v>
      </c>
      <c r="U2" t="s">
        <v>263</v>
      </c>
      <c r="V2" t="s">
        <v>8</v>
      </c>
      <c r="X2" t="s">
        <v>9</v>
      </c>
      <c r="Y2" t="s">
        <v>10</v>
      </c>
      <c r="Z2">
        <v>2</v>
      </c>
      <c r="AA2">
        <v>4</v>
      </c>
      <c r="AB2" t="s">
        <v>11</v>
      </c>
      <c r="AC2" t="s">
        <v>12</v>
      </c>
      <c r="AD2" t="s">
        <v>13</v>
      </c>
      <c r="AE2" t="s">
        <v>14</v>
      </c>
      <c r="AF2" s="1">
        <v>11049</v>
      </c>
      <c r="AG2" s="6">
        <f t="shared" ref="AG2:AG65" ca="1" si="2">INT((TODAY()-AF2)/365.25)</f>
        <v>95</v>
      </c>
    </row>
    <row r="3" spans="1:33" x14ac:dyDescent="0.2">
      <c r="A3" s="1">
        <v>46040</v>
      </c>
      <c r="B3" t="str">
        <f t="shared" si="0"/>
        <v>dimanche</v>
      </c>
      <c r="C3" t="str">
        <f t="shared" si="1"/>
        <v>Nuit</v>
      </c>
      <c r="D3">
        <v>1510915</v>
      </c>
      <c r="E3">
        <v>2587932</v>
      </c>
      <c r="F3" t="s">
        <v>15</v>
      </c>
      <c r="G3" t="s">
        <v>16</v>
      </c>
      <c r="H3" t="s">
        <v>2</v>
      </c>
      <c r="I3" t="s">
        <v>3</v>
      </c>
      <c r="J3" t="s">
        <v>4</v>
      </c>
      <c r="K3">
        <v>60709</v>
      </c>
      <c r="L3" t="s">
        <v>5</v>
      </c>
      <c r="M3" t="s">
        <v>6</v>
      </c>
      <c r="N3" s="2">
        <v>0.97222222222222221</v>
      </c>
      <c r="O3" s="2">
        <v>0.97430555555555554</v>
      </c>
      <c r="P3" s="2">
        <v>0.98611111111111116</v>
      </c>
      <c r="Q3" s="2">
        <v>9.7222222222222224E-3</v>
      </c>
      <c r="R3" s="2">
        <v>2.0833333333333332E-2</v>
      </c>
      <c r="S3" s="2">
        <v>4.1666666666666664E-2</v>
      </c>
      <c r="T3" t="s">
        <v>17</v>
      </c>
      <c r="U3" t="s">
        <v>18</v>
      </c>
      <c r="V3" t="s">
        <v>8</v>
      </c>
      <c r="X3" t="s">
        <v>19</v>
      </c>
      <c r="Y3" t="s">
        <v>187</v>
      </c>
      <c r="Z3" t="s">
        <v>188</v>
      </c>
      <c r="AA3">
        <v>2</v>
      </c>
      <c r="AB3" t="s">
        <v>11</v>
      </c>
      <c r="AC3" t="s">
        <v>12</v>
      </c>
      <c r="AD3" t="s">
        <v>20</v>
      </c>
      <c r="AE3" t="s">
        <v>14</v>
      </c>
      <c r="AF3" s="1">
        <v>41272</v>
      </c>
      <c r="AG3">
        <f t="shared" ca="1" si="2"/>
        <v>13</v>
      </c>
    </row>
    <row r="4" spans="1:33" x14ac:dyDescent="0.2">
      <c r="A4" s="1">
        <v>46051</v>
      </c>
      <c r="B4" t="str">
        <f t="shared" si="0"/>
        <v>jeudi</v>
      </c>
      <c r="C4" t="str">
        <f t="shared" si="1"/>
        <v>Jour</v>
      </c>
      <c r="D4">
        <v>1510979</v>
      </c>
      <c r="E4">
        <v>2607327</v>
      </c>
      <c r="F4" t="s">
        <v>21</v>
      </c>
      <c r="G4" t="s">
        <v>1</v>
      </c>
      <c r="H4" t="s">
        <v>22</v>
      </c>
      <c r="I4" t="s">
        <v>23</v>
      </c>
      <c r="J4" t="s">
        <v>4</v>
      </c>
      <c r="K4">
        <v>60705</v>
      </c>
      <c r="L4" t="s">
        <v>5</v>
      </c>
      <c r="M4" t="s">
        <v>6</v>
      </c>
      <c r="N4" s="2">
        <v>0.34791666666666665</v>
      </c>
      <c r="O4" s="2">
        <v>0.34861111111111109</v>
      </c>
      <c r="P4" s="2">
        <v>0.3576388888888889</v>
      </c>
      <c r="Q4" s="2">
        <v>0.37291666666666667</v>
      </c>
      <c r="R4" s="2">
        <v>0.38541666666666669</v>
      </c>
      <c r="S4" s="2">
        <v>0.41666666666666669</v>
      </c>
      <c r="T4" t="s">
        <v>7</v>
      </c>
      <c r="U4" t="s">
        <v>250</v>
      </c>
      <c r="V4" t="s">
        <v>24</v>
      </c>
      <c r="X4" t="s">
        <v>9</v>
      </c>
      <c r="Y4" t="s">
        <v>10</v>
      </c>
      <c r="Z4">
        <v>2</v>
      </c>
      <c r="AA4">
        <v>4</v>
      </c>
      <c r="AB4" t="s">
        <v>11</v>
      </c>
      <c r="AC4" t="s">
        <v>12</v>
      </c>
      <c r="AD4" t="s">
        <v>13</v>
      </c>
      <c r="AE4" t="s">
        <v>14</v>
      </c>
      <c r="AF4" s="1">
        <v>26766</v>
      </c>
      <c r="AG4">
        <f t="shared" ca="1" si="2"/>
        <v>52</v>
      </c>
    </row>
    <row r="5" spans="1:33" x14ac:dyDescent="0.2">
      <c r="A5" s="1">
        <v>46053</v>
      </c>
      <c r="B5" t="str">
        <f t="shared" si="0"/>
        <v>samedi</v>
      </c>
      <c r="C5" t="str">
        <f t="shared" si="1"/>
        <v>Jour</v>
      </c>
      <c r="D5">
        <v>1475622</v>
      </c>
      <c r="E5">
        <v>2608021</v>
      </c>
      <c r="F5" t="s">
        <v>25</v>
      </c>
      <c r="G5" t="s">
        <v>25</v>
      </c>
      <c r="H5" t="s">
        <v>189</v>
      </c>
      <c r="I5" t="s">
        <v>26</v>
      </c>
      <c r="J5" t="s">
        <v>4</v>
      </c>
      <c r="K5">
        <v>60709</v>
      </c>
      <c r="L5" t="s">
        <v>5</v>
      </c>
      <c r="M5" t="s">
        <v>6</v>
      </c>
      <c r="N5" s="2">
        <v>0.69444444444444442</v>
      </c>
      <c r="O5" s="2">
        <v>0.7006944444444444</v>
      </c>
      <c r="P5" s="2">
        <v>0.72986111111111107</v>
      </c>
      <c r="Q5" s="2">
        <v>0.74027777777777781</v>
      </c>
      <c r="R5" s="2">
        <v>0.76388888888888884</v>
      </c>
      <c r="S5" s="2">
        <v>0.78125</v>
      </c>
      <c r="T5" t="s">
        <v>24</v>
      </c>
      <c r="U5" t="s">
        <v>27</v>
      </c>
      <c r="V5" t="s">
        <v>8</v>
      </c>
      <c r="X5" t="s">
        <v>190</v>
      </c>
      <c r="Y5" t="s">
        <v>191</v>
      </c>
      <c r="Z5">
        <v>3</v>
      </c>
      <c r="AA5">
        <v>3</v>
      </c>
      <c r="AB5" t="s">
        <v>11</v>
      </c>
      <c r="AC5" t="s">
        <v>12</v>
      </c>
      <c r="AD5" t="s">
        <v>20</v>
      </c>
      <c r="AE5" t="s">
        <v>14</v>
      </c>
      <c r="AF5" s="1">
        <v>21966</v>
      </c>
      <c r="AG5">
        <f t="shared" ca="1" si="2"/>
        <v>65</v>
      </c>
    </row>
    <row r="6" spans="1:33" x14ac:dyDescent="0.2">
      <c r="A6" s="1">
        <v>46050</v>
      </c>
      <c r="B6" t="str">
        <f t="shared" si="0"/>
        <v>mercredi</v>
      </c>
      <c r="C6" t="str">
        <f t="shared" si="1"/>
        <v>Jour</v>
      </c>
      <c r="D6">
        <v>1510973</v>
      </c>
      <c r="E6">
        <v>2607077</v>
      </c>
      <c r="F6" t="s">
        <v>21</v>
      </c>
      <c r="G6" t="s">
        <v>1</v>
      </c>
      <c r="H6" t="s">
        <v>22</v>
      </c>
      <c r="I6" t="s">
        <v>23</v>
      </c>
      <c r="J6" t="s">
        <v>4</v>
      </c>
      <c r="K6">
        <v>60704</v>
      </c>
      <c r="L6" t="s">
        <v>5</v>
      </c>
      <c r="M6" t="s">
        <v>6</v>
      </c>
      <c r="N6" s="2">
        <v>0.58333333333333337</v>
      </c>
      <c r="O6" s="2">
        <v>0.5854166666666667</v>
      </c>
      <c r="P6" s="2">
        <v>0.59027777777777779</v>
      </c>
      <c r="Q6" s="2">
        <v>0.61388888888888893</v>
      </c>
      <c r="R6" s="2">
        <v>0.62013888888888891</v>
      </c>
      <c r="S6" s="2">
        <v>0.64583333333333337</v>
      </c>
      <c r="T6" t="s">
        <v>7</v>
      </c>
      <c r="U6" t="s">
        <v>18</v>
      </c>
      <c r="V6" t="s">
        <v>8</v>
      </c>
      <c r="X6" t="s">
        <v>192</v>
      </c>
      <c r="Y6" t="s">
        <v>193</v>
      </c>
      <c r="Z6">
        <v>2</v>
      </c>
      <c r="AA6">
        <v>4</v>
      </c>
      <c r="AB6" t="s">
        <v>11</v>
      </c>
      <c r="AC6" t="s">
        <v>28</v>
      </c>
      <c r="AD6" t="s">
        <v>20</v>
      </c>
      <c r="AE6" t="s">
        <v>29</v>
      </c>
      <c r="AF6" s="1">
        <v>12009</v>
      </c>
      <c r="AG6">
        <f t="shared" ca="1" si="2"/>
        <v>93</v>
      </c>
    </row>
    <row r="7" spans="1:33" x14ac:dyDescent="0.2">
      <c r="A7" s="1">
        <v>46050</v>
      </c>
      <c r="B7" t="str">
        <f t="shared" si="0"/>
        <v>mercredi</v>
      </c>
      <c r="C7" t="str">
        <f t="shared" si="1"/>
        <v>Jour</v>
      </c>
      <c r="D7">
        <v>1510971</v>
      </c>
      <c r="E7">
        <v>2606998</v>
      </c>
      <c r="F7" t="s">
        <v>21</v>
      </c>
      <c r="G7" t="s">
        <v>16</v>
      </c>
      <c r="H7" t="s">
        <v>22</v>
      </c>
      <c r="I7" t="s">
        <v>23</v>
      </c>
      <c r="J7" t="s">
        <v>4</v>
      </c>
      <c r="K7">
        <v>60704</v>
      </c>
      <c r="L7" t="s">
        <v>5</v>
      </c>
      <c r="M7" t="s">
        <v>6</v>
      </c>
      <c r="N7" s="2">
        <v>0.38333333333333336</v>
      </c>
      <c r="O7" s="2">
        <v>0.38541666666666669</v>
      </c>
      <c r="P7" s="2">
        <v>0.40208333333333335</v>
      </c>
      <c r="Q7" s="2">
        <v>0.40833333333333333</v>
      </c>
      <c r="R7" s="2">
        <v>0.42638888888888887</v>
      </c>
      <c r="S7" s="2">
        <v>0.45833333333333331</v>
      </c>
      <c r="T7" t="s">
        <v>7</v>
      </c>
      <c r="U7" t="s">
        <v>30</v>
      </c>
      <c r="V7" t="s">
        <v>24</v>
      </c>
      <c r="X7" t="s">
        <v>31</v>
      </c>
      <c r="Y7" t="s">
        <v>194</v>
      </c>
      <c r="Z7">
        <v>3</v>
      </c>
      <c r="AA7">
        <v>2</v>
      </c>
      <c r="AB7" t="s">
        <v>11</v>
      </c>
      <c r="AC7" t="s">
        <v>12</v>
      </c>
      <c r="AD7" t="s">
        <v>20</v>
      </c>
      <c r="AE7" t="s">
        <v>29</v>
      </c>
      <c r="AF7" s="1">
        <v>24256</v>
      </c>
      <c r="AG7">
        <f t="shared" ca="1" si="2"/>
        <v>59</v>
      </c>
    </row>
    <row r="8" spans="1:33" x14ac:dyDescent="0.2">
      <c r="A8" s="1">
        <v>46042</v>
      </c>
      <c r="B8" t="str">
        <f t="shared" si="0"/>
        <v>mardi</v>
      </c>
      <c r="C8" t="str">
        <f t="shared" si="1"/>
        <v>Jour</v>
      </c>
      <c r="D8">
        <v>1510929</v>
      </c>
      <c r="E8">
        <v>2604987</v>
      </c>
      <c r="F8" t="s">
        <v>15</v>
      </c>
      <c r="G8" t="s">
        <v>1</v>
      </c>
      <c r="H8" t="s">
        <v>22</v>
      </c>
      <c r="I8" t="s">
        <v>23</v>
      </c>
      <c r="J8" t="s">
        <v>4</v>
      </c>
      <c r="K8">
        <v>60709</v>
      </c>
      <c r="L8" t="s">
        <v>5</v>
      </c>
      <c r="M8" t="s">
        <v>6</v>
      </c>
      <c r="N8" s="2">
        <v>0.50763888888888886</v>
      </c>
      <c r="O8" s="2">
        <v>0.50902777777777775</v>
      </c>
      <c r="P8" s="2">
        <v>0.51249999999999996</v>
      </c>
      <c r="Q8" s="2">
        <v>0.53194444444444444</v>
      </c>
      <c r="R8" s="2">
        <v>0.5395833333333333</v>
      </c>
      <c r="S8" s="2">
        <v>0.5625</v>
      </c>
      <c r="T8" t="s">
        <v>8</v>
      </c>
      <c r="U8" t="s">
        <v>32</v>
      </c>
      <c r="V8" t="s">
        <v>8</v>
      </c>
      <c r="X8" t="s">
        <v>33</v>
      </c>
      <c r="Y8" t="s">
        <v>34</v>
      </c>
      <c r="Z8">
        <v>1</v>
      </c>
      <c r="AA8">
        <v>4</v>
      </c>
      <c r="AB8" t="s">
        <v>11</v>
      </c>
      <c r="AC8" t="s">
        <v>12</v>
      </c>
      <c r="AD8" t="s">
        <v>20</v>
      </c>
      <c r="AE8" t="s">
        <v>14</v>
      </c>
      <c r="AF8" s="1">
        <v>15957</v>
      </c>
      <c r="AG8">
        <f t="shared" ca="1" si="2"/>
        <v>82</v>
      </c>
    </row>
    <row r="9" spans="1:33" x14ac:dyDescent="0.2">
      <c r="A9" s="1">
        <v>46051</v>
      </c>
      <c r="B9" t="str">
        <f t="shared" si="0"/>
        <v>jeudi</v>
      </c>
      <c r="C9" t="str">
        <f t="shared" si="1"/>
        <v>Jour</v>
      </c>
      <c r="D9">
        <v>1494353</v>
      </c>
      <c r="E9">
        <v>2607484</v>
      </c>
      <c r="F9" t="s">
        <v>21</v>
      </c>
      <c r="G9" t="s">
        <v>1</v>
      </c>
      <c r="H9" t="s">
        <v>22</v>
      </c>
      <c r="I9" t="s">
        <v>23</v>
      </c>
      <c r="J9" t="s">
        <v>4</v>
      </c>
      <c r="K9">
        <v>60704</v>
      </c>
      <c r="L9" t="s">
        <v>5</v>
      </c>
      <c r="M9" t="s">
        <v>195</v>
      </c>
      <c r="N9" s="2">
        <v>0.72013888888888888</v>
      </c>
      <c r="O9" s="2">
        <v>0.72083333333333333</v>
      </c>
      <c r="P9" s="2">
        <v>0.72222222222222221</v>
      </c>
      <c r="Q9" s="2">
        <v>0.74236111111111114</v>
      </c>
      <c r="R9" s="2">
        <v>0.74791666666666667</v>
      </c>
      <c r="S9" s="2">
        <v>0.77083333333333337</v>
      </c>
      <c r="T9" t="s">
        <v>7</v>
      </c>
      <c r="U9" t="s">
        <v>251</v>
      </c>
      <c r="V9" t="s">
        <v>8</v>
      </c>
      <c r="X9" t="s">
        <v>35</v>
      </c>
      <c r="Y9" t="s">
        <v>196</v>
      </c>
      <c r="Z9">
        <v>1</v>
      </c>
      <c r="AA9">
        <v>5</v>
      </c>
      <c r="AB9" t="s">
        <v>11</v>
      </c>
      <c r="AC9" t="s">
        <v>12</v>
      </c>
      <c r="AD9" t="s">
        <v>36</v>
      </c>
      <c r="AE9" t="s">
        <v>14</v>
      </c>
      <c r="AF9" s="1">
        <v>13407</v>
      </c>
      <c r="AG9">
        <f t="shared" ca="1" si="2"/>
        <v>89</v>
      </c>
    </row>
    <row r="10" spans="1:33" x14ac:dyDescent="0.2">
      <c r="A10" s="1">
        <v>46052</v>
      </c>
      <c r="B10" t="str">
        <f t="shared" si="0"/>
        <v>vendredi</v>
      </c>
      <c r="C10" t="str">
        <f t="shared" si="1"/>
        <v>Jour</v>
      </c>
      <c r="D10">
        <v>1494006</v>
      </c>
      <c r="E10">
        <v>2607694</v>
      </c>
      <c r="F10" t="s">
        <v>25</v>
      </c>
      <c r="G10" t="s">
        <v>25</v>
      </c>
      <c r="H10" t="s">
        <v>37</v>
      </c>
      <c r="I10" t="s">
        <v>197</v>
      </c>
      <c r="J10" t="s">
        <v>4</v>
      </c>
      <c r="K10">
        <v>60708</v>
      </c>
      <c r="L10" t="s">
        <v>5</v>
      </c>
      <c r="M10" t="s">
        <v>6</v>
      </c>
      <c r="N10" s="2">
        <v>0.55972222222222223</v>
      </c>
      <c r="O10" s="2">
        <v>0.56736111111111109</v>
      </c>
      <c r="P10" s="2">
        <v>0.57291666666666663</v>
      </c>
      <c r="Q10" s="2">
        <v>0.58402777777777781</v>
      </c>
      <c r="R10" s="2">
        <v>0.59236111111111112</v>
      </c>
      <c r="S10" s="2">
        <v>0.61319444444444449</v>
      </c>
      <c r="T10" t="s">
        <v>38</v>
      </c>
      <c r="U10" t="s">
        <v>39</v>
      </c>
      <c r="V10" t="s">
        <v>8</v>
      </c>
      <c r="X10" t="s">
        <v>19</v>
      </c>
      <c r="Y10" t="s">
        <v>40</v>
      </c>
      <c r="Z10">
        <v>3</v>
      </c>
      <c r="AA10">
        <v>3</v>
      </c>
      <c r="AB10" t="s">
        <v>11</v>
      </c>
      <c r="AC10" t="s">
        <v>12</v>
      </c>
      <c r="AD10" t="s">
        <v>20</v>
      </c>
      <c r="AE10" t="s">
        <v>14</v>
      </c>
      <c r="AG10">
        <f t="shared" ca="1" si="2"/>
        <v>126</v>
      </c>
    </row>
    <row r="11" spans="1:33" x14ac:dyDescent="0.2">
      <c r="A11" s="1">
        <v>46053</v>
      </c>
      <c r="B11" t="str">
        <f t="shared" si="0"/>
        <v>samedi</v>
      </c>
      <c r="C11" t="str">
        <f t="shared" si="1"/>
        <v>Nuit</v>
      </c>
      <c r="D11">
        <v>1510899</v>
      </c>
      <c r="E11">
        <v>2608079</v>
      </c>
      <c r="F11" t="s">
        <v>0</v>
      </c>
      <c r="G11" t="s">
        <v>16</v>
      </c>
      <c r="H11" t="s">
        <v>37</v>
      </c>
      <c r="I11" t="s">
        <v>41</v>
      </c>
      <c r="J11" t="s">
        <v>4</v>
      </c>
      <c r="K11">
        <v>60706</v>
      </c>
      <c r="L11" t="s">
        <v>5</v>
      </c>
      <c r="M11" t="s">
        <v>6</v>
      </c>
      <c r="N11" s="2">
        <v>0.88402777777777775</v>
      </c>
      <c r="O11" s="2">
        <v>0.88541666666666663</v>
      </c>
      <c r="P11" s="2">
        <v>0.89027777777777772</v>
      </c>
      <c r="Q11" s="2">
        <v>0.90694444444444444</v>
      </c>
      <c r="R11" s="2">
        <v>0.91597222222222219</v>
      </c>
      <c r="S11" s="2">
        <v>0.94027777777777777</v>
      </c>
      <c r="T11" t="s">
        <v>7</v>
      </c>
      <c r="U11" t="s">
        <v>263</v>
      </c>
      <c r="V11" t="s">
        <v>8</v>
      </c>
      <c r="X11" t="s">
        <v>264</v>
      </c>
      <c r="Y11" t="s">
        <v>187</v>
      </c>
      <c r="Z11" t="s">
        <v>188</v>
      </c>
      <c r="AA11">
        <v>3</v>
      </c>
      <c r="AB11" t="s">
        <v>11</v>
      </c>
      <c r="AC11" t="s">
        <v>12</v>
      </c>
      <c r="AD11" t="s">
        <v>20</v>
      </c>
      <c r="AE11" t="s">
        <v>14</v>
      </c>
      <c r="AF11" s="1">
        <v>40853</v>
      </c>
      <c r="AG11">
        <f t="shared" ca="1" si="2"/>
        <v>14</v>
      </c>
    </row>
    <row r="12" spans="1:33" x14ac:dyDescent="0.2">
      <c r="A12" s="1">
        <v>46051</v>
      </c>
      <c r="B12" t="str">
        <f t="shared" si="0"/>
        <v>jeudi</v>
      </c>
      <c r="C12" t="str">
        <f t="shared" si="1"/>
        <v>Jour</v>
      </c>
      <c r="D12">
        <v>1475615</v>
      </c>
      <c r="E12">
        <v>2607485</v>
      </c>
      <c r="F12" t="s">
        <v>15</v>
      </c>
      <c r="G12" t="s">
        <v>16</v>
      </c>
      <c r="H12" t="s">
        <v>42</v>
      </c>
      <c r="I12" t="s">
        <v>41</v>
      </c>
      <c r="J12" t="s">
        <v>4</v>
      </c>
      <c r="K12">
        <v>60709</v>
      </c>
      <c r="L12" t="s">
        <v>5</v>
      </c>
      <c r="M12" t="s">
        <v>6</v>
      </c>
      <c r="N12" s="2">
        <v>0.72083333333333333</v>
      </c>
      <c r="O12" s="2">
        <v>0.72083333333333333</v>
      </c>
      <c r="P12" s="2">
        <v>0.72986111111111107</v>
      </c>
      <c r="Q12" s="2">
        <v>0.74027777777777781</v>
      </c>
      <c r="R12" s="2">
        <v>0.74722222222222223</v>
      </c>
      <c r="S12" s="2">
        <v>0.7680555555555556</v>
      </c>
      <c r="T12" t="s">
        <v>43</v>
      </c>
      <c r="U12" t="s">
        <v>251</v>
      </c>
      <c r="V12" t="s">
        <v>8</v>
      </c>
      <c r="X12" t="s">
        <v>192</v>
      </c>
      <c r="Y12" t="s">
        <v>198</v>
      </c>
      <c r="Z12">
        <v>2</v>
      </c>
      <c r="AA12">
        <v>3</v>
      </c>
      <c r="AB12" t="s">
        <v>11</v>
      </c>
      <c r="AC12" t="s">
        <v>28</v>
      </c>
      <c r="AD12" t="s">
        <v>44</v>
      </c>
      <c r="AE12" t="s">
        <v>29</v>
      </c>
      <c r="AF12" s="1">
        <v>16180</v>
      </c>
      <c r="AG12">
        <f t="shared" ca="1" si="2"/>
        <v>81</v>
      </c>
    </row>
    <row r="13" spans="1:33" x14ac:dyDescent="0.2">
      <c r="A13" s="1">
        <v>46052</v>
      </c>
      <c r="B13" t="str">
        <f t="shared" si="0"/>
        <v>vendredi</v>
      </c>
      <c r="C13" t="str">
        <f t="shared" si="1"/>
        <v>Nuit</v>
      </c>
      <c r="D13">
        <v>1494336</v>
      </c>
      <c r="E13">
        <v>2607871</v>
      </c>
      <c r="F13" t="s">
        <v>45</v>
      </c>
      <c r="G13" t="s">
        <v>1</v>
      </c>
      <c r="H13" t="s">
        <v>42</v>
      </c>
      <c r="I13" t="s">
        <v>23</v>
      </c>
      <c r="J13" t="s">
        <v>4</v>
      </c>
      <c r="K13">
        <v>60704</v>
      </c>
      <c r="L13" t="s">
        <v>5</v>
      </c>
      <c r="M13" t="s">
        <v>6</v>
      </c>
      <c r="N13" s="2">
        <v>0.10347222222222222</v>
      </c>
      <c r="O13" s="2">
        <v>0.10416666666666667</v>
      </c>
      <c r="P13" s="2">
        <v>0.11388888888888889</v>
      </c>
      <c r="S13" s="2">
        <v>0.1423611111111111</v>
      </c>
      <c r="T13" t="s">
        <v>7</v>
      </c>
      <c r="U13" t="s">
        <v>46</v>
      </c>
      <c r="V13" t="s">
        <v>47</v>
      </c>
      <c r="W13" t="s">
        <v>199</v>
      </c>
      <c r="X13" t="s">
        <v>252</v>
      </c>
      <c r="Y13" t="s">
        <v>48</v>
      </c>
      <c r="Z13">
        <v>3</v>
      </c>
      <c r="AA13">
        <v>1</v>
      </c>
      <c r="AB13" t="s">
        <v>11</v>
      </c>
      <c r="AC13" t="s">
        <v>12</v>
      </c>
      <c r="AD13" t="s">
        <v>20</v>
      </c>
      <c r="AE13" t="s">
        <v>14</v>
      </c>
      <c r="AF13" s="1">
        <v>30002</v>
      </c>
      <c r="AG13">
        <f t="shared" ca="1" si="2"/>
        <v>43</v>
      </c>
    </row>
    <row r="14" spans="1:33" x14ac:dyDescent="0.2">
      <c r="A14" s="1">
        <v>46052</v>
      </c>
      <c r="B14" t="str">
        <f t="shared" si="0"/>
        <v>vendredi</v>
      </c>
      <c r="C14" t="str">
        <f t="shared" si="1"/>
        <v>Jour</v>
      </c>
      <c r="D14">
        <v>1494358</v>
      </c>
      <c r="E14">
        <v>2607661</v>
      </c>
      <c r="F14" t="s">
        <v>21</v>
      </c>
      <c r="G14" t="s">
        <v>16</v>
      </c>
      <c r="H14" t="s">
        <v>42</v>
      </c>
      <c r="I14" t="s">
        <v>49</v>
      </c>
      <c r="J14" t="s">
        <v>50</v>
      </c>
      <c r="K14">
        <v>60704</v>
      </c>
      <c r="L14" t="s">
        <v>5</v>
      </c>
      <c r="M14" t="s">
        <v>6</v>
      </c>
      <c r="N14" s="2">
        <v>0.46458333333333335</v>
      </c>
      <c r="O14" s="2">
        <v>0.46597222222222223</v>
      </c>
      <c r="P14" s="2">
        <v>0.47152777777777777</v>
      </c>
      <c r="Q14" s="2">
        <v>0.49722222222222223</v>
      </c>
      <c r="R14" s="2">
        <v>0.50138888888888888</v>
      </c>
      <c r="S14" s="2">
        <v>0.52361111111111114</v>
      </c>
      <c r="T14" t="s">
        <v>43</v>
      </c>
      <c r="U14" t="s">
        <v>251</v>
      </c>
      <c r="V14" t="s">
        <v>8</v>
      </c>
      <c r="X14" t="s">
        <v>200</v>
      </c>
      <c r="Y14" t="s">
        <v>51</v>
      </c>
      <c r="Z14">
        <v>2</v>
      </c>
      <c r="AA14">
        <v>2</v>
      </c>
      <c r="AB14" t="s">
        <v>11</v>
      </c>
      <c r="AC14" t="s">
        <v>12</v>
      </c>
      <c r="AD14" t="s">
        <v>20</v>
      </c>
      <c r="AE14" t="s">
        <v>14</v>
      </c>
      <c r="AF14" s="1">
        <v>31553</v>
      </c>
      <c r="AG14">
        <f t="shared" ca="1" si="2"/>
        <v>39</v>
      </c>
    </row>
    <row r="15" spans="1:33" x14ac:dyDescent="0.2">
      <c r="A15" s="1">
        <v>46052</v>
      </c>
      <c r="B15" t="str">
        <f t="shared" si="0"/>
        <v>vendredi</v>
      </c>
      <c r="C15" t="str">
        <f t="shared" si="1"/>
        <v>Nuit</v>
      </c>
      <c r="D15">
        <v>1494361</v>
      </c>
      <c r="E15">
        <v>2607802</v>
      </c>
      <c r="F15" t="s">
        <v>45</v>
      </c>
      <c r="G15" t="s">
        <v>16</v>
      </c>
      <c r="H15" t="s">
        <v>42</v>
      </c>
      <c r="I15" t="s">
        <v>23</v>
      </c>
      <c r="J15" t="s">
        <v>4</v>
      </c>
      <c r="K15">
        <v>60704</v>
      </c>
      <c r="L15" t="s">
        <v>5</v>
      </c>
      <c r="M15" t="s">
        <v>6</v>
      </c>
      <c r="N15" s="2">
        <v>0.83472222222222225</v>
      </c>
      <c r="O15" s="2">
        <v>0.87013888888888891</v>
      </c>
      <c r="P15" s="2">
        <v>0.87708333333333333</v>
      </c>
      <c r="S15" s="2">
        <v>0.89444444444444449</v>
      </c>
      <c r="T15" t="s">
        <v>52</v>
      </c>
      <c r="U15" t="s">
        <v>251</v>
      </c>
      <c r="V15" t="s">
        <v>47</v>
      </c>
      <c r="W15" t="s">
        <v>199</v>
      </c>
      <c r="X15" t="s">
        <v>33</v>
      </c>
      <c r="Y15" t="s">
        <v>201</v>
      </c>
      <c r="Z15">
        <v>4</v>
      </c>
      <c r="AA15">
        <v>1</v>
      </c>
      <c r="AB15" t="s">
        <v>11</v>
      </c>
      <c r="AC15" t="s">
        <v>12</v>
      </c>
      <c r="AD15" t="s">
        <v>20</v>
      </c>
      <c r="AE15" t="s">
        <v>14</v>
      </c>
      <c r="AF15" s="1">
        <v>33738</v>
      </c>
      <c r="AG15">
        <f t="shared" ca="1" si="2"/>
        <v>33</v>
      </c>
    </row>
    <row r="16" spans="1:33" x14ac:dyDescent="0.2">
      <c r="A16" s="1">
        <v>46053</v>
      </c>
      <c r="B16" t="str">
        <f t="shared" si="0"/>
        <v>samedi</v>
      </c>
      <c r="C16" t="str">
        <f t="shared" si="1"/>
        <v>Jour</v>
      </c>
      <c r="D16">
        <v>1510980</v>
      </c>
      <c r="E16">
        <v>2600864</v>
      </c>
      <c r="F16" t="s">
        <v>21</v>
      </c>
      <c r="G16" t="s">
        <v>16</v>
      </c>
      <c r="H16" t="s">
        <v>42</v>
      </c>
      <c r="I16" t="s">
        <v>23</v>
      </c>
      <c r="J16" t="s">
        <v>4</v>
      </c>
      <c r="K16">
        <v>60706</v>
      </c>
      <c r="L16" t="s">
        <v>5</v>
      </c>
      <c r="M16" t="s">
        <v>6</v>
      </c>
      <c r="N16" s="2">
        <v>0.8</v>
      </c>
      <c r="O16" s="2">
        <v>0.80208333333333337</v>
      </c>
      <c r="P16" s="2">
        <v>0.80833333333333335</v>
      </c>
      <c r="S16" s="2">
        <v>0.8305555555555556</v>
      </c>
      <c r="T16" t="s">
        <v>7</v>
      </c>
      <c r="U16" t="s">
        <v>251</v>
      </c>
      <c r="V16" t="s">
        <v>47</v>
      </c>
      <c r="W16" t="s">
        <v>199</v>
      </c>
      <c r="X16" t="s">
        <v>200</v>
      </c>
      <c r="Y16" t="s">
        <v>53</v>
      </c>
      <c r="Z16">
        <v>3</v>
      </c>
      <c r="AA16">
        <v>1</v>
      </c>
      <c r="AB16" t="s">
        <v>11</v>
      </c>
      <c r="AC16" t="s">
        <v>28</v>
      </c>
      <c r="AD16" t="s">
        <v>20</v>
      </c>
      <c r="AE16" t="s">
        <v>29</v>
      </c>
      <c r="AF16" s="1">
        <v>45619</v>
      </c>
      <c r="AG16">
        <f t="shared" ca="1" si="2"/>
        <v>1</v>
      </c>
    </row>
    <row r="17" spans="1:33" x14ac:dyDescent="0.2">
      <c r="A17" s="1">
        <v>46053</v>
      </c>
      <c r="B17" t="str">
        <f t="shared" si="0"/>
        <v>samedi</v>
      </c>
      <c r="C17" t="str">
        <f t="shared" si="1"/>
        <v>Nuit</v>
      </c>
      <c r="D17">
        <v>1494368</v>
      </c>
      <c r="E17">
        <v>2608093</v>
      </c>
      <c r="F17" t="s">
        <v>45</v>
      </c>
      <c r="G17" t="s">
        <v>1</v>
      </c>
      <c r="H17" t="s">
        <v>42</v>
      </c>
      <c r="I17" t="s">
        <v>23</v>
      </c>
      <c r="J17" t="s">
        <v>4</v>
      </c>
      <c r="K17">
        <v>60704</v>
      </c>
      <c r="L17" t="s">
        <v>5</v>
      </c>
      <c r="M17" t="s">
        <v>6</v>
      </c>
      <c r="N17" s="2">
        <v>0.94513888888888886</v>
      </c>
      <c r="O17" s="2">
        <v>0.94652777777777775</v>
      </c>
      <c r="P17" s="2">
        <v>0.95416666666666672</v>
      </c>
      <c r="Q17" s="2">
        <v>0.98263888888888884</v>
      </c>
      <c r="R17" s="2">
        <v>0.99305555555555558</v>
      </c>
      <c r="S17" s="2">
        <v>2.0833333333333332E-2</v>
      </c>
      <c r="T17" t="s">
        <v>7</v>
      </c>
      <c r="U17" t="s">
        <v>54</v>
      </c>
      <c r="V17" t="s">
        <v>8</v>
      </c>
      <c r="X17" t="s">
        <v>33</v>
      </c>
      <c r="Y17" t="s">
        <v>40</v>
      </c>
      <c r="Z17">
        <v>2</v>
      </c>
      <c r="AA17">
        <v>2</v>
      </c>
      <c r="AB17" t="s">
        <v>11</v>
      </c>
      <c r="AC17" t="s">
        <v>12</v>
      </c>
      <c r="AD17" t="s">
        <v>20</v>
      </c>
      <c r="AE17" t="s">
        <v>29</v>
      </c>
      <c r="AF17" s="1">
        <v>15516</v>
      </c>
      <c r="AG17">
        <f t="shared" ca="1" si="2"/>
        <v>83</v>
      </c>
    </row>
    <row r="18" spans="1:33" x14ac:dyDescent="0.2">
      <c r="A18" s="1">
        <v>46050</v>
      </c>
      <c r="B18" t="str">
        <f t="shared" si="0"/>
        <v>mercredi</v>
      </c>
      <c r="C18" t="str">
        <f t="shared" si="1"/>
        <v>Jour</v>
      </c>
      <c r="D18">
        <v>1510884</v>
      </c>
      <c r="E18">
        <v>2607162</v>
      </c>
      <c r="F18" t="s">
        <v>25</v>
      </c>
      <c r="G18" t="s">
        <v>25</v>
      </c>
      <c r="H18" t="s">
        <v>55</v>
      </c>
      <c r="I18" t="s">
        <v>202</v>
      </c>
      <c r="J18" t="s">
        <v>4</v>
      </c>
      <c r="K18">
        <v>60706</v>
      </c>
      <c r="L18" t="s">
        <v>5</v>
      </c>
      <c r="M18" t="s">
        <v>6</v>
      </c>
      <c r="N18" s="2">
        <v>0.66666666666666663</v>
      </c>
      <c r="O18" s="2">
        <v>0.67013888888888884</v>
      </c>
      <c r="P18" s="2">
        <v>0.69374999999999998</v>
      </c>
      <c r="Q18" s="2">
        <v>0.71319444444444446</v>
      </c>
      <c r="R18" s="2">
        <v>0.73402777777777772</v>
      </c>
      <c r="S18" s="2">
        <v>0.74305555555555558</v>
      </c>
      <c r="T18" t="s">
        <v>7</v>
      </c>
      <c r="U18" t="s">
        <v>251</v>
      </c>
      <c r="V18" t="s">
        <v>8</v>
      </c>
      <c r="X18" t="s">
        <v>19</v>
      </c>
      <c r="Y18" t="s">
        <v>40</v>
      </c>
      <c r="Z18">
        <v>2</v>
      </c>
      <c r="AA18">
        <v>3</v>
      </c>
      <c r="AB18" t="s">
        <v>11</v>
      </c>
      <c r="AC18" t="s">
        <v>12</v>
      </c>
      <c r="AD18" t="s">
        <v>20</v>
      </c>
      <c r="AE18" t="s">
        <v>29</v>
      </c>
      <c r="AF18" s="1">
        <v>36666</v>
      </c>
      <c r="AG18">
        <f t="shared" ca="1" si="2"/>
        <v>25</v>
      </c>
    </row>
    <row r="19" spans="1:33" x14ac:dyDescent="0.2">
      <c r="A19" s="1">
        <v>46051</v>
      </c>
      <c r="B19" t="str">
        <f t="shared" si="0"/>
        <v>jeudi</v>
      </c>
      <c r="C19" t="str">
        <f t="shared" si="1"/>
        <v>Jour</v>
      </c>
      <c r="D19">
        <v>1494003</v>
      </c>
      <c r="E19">
        <v>2607433</v>
      </c>
      <c r="F19" t="s">
        <v>56</v>
      </c>
      <c r="G19" t="s">
        <v>1</v>
      </c>
      <c r="H19" t="s">
        <v>55</v>
      </c>
      <c r="I19" t="s">
        <v>57</v>
      </c>
      <c r="J19" t="s">
        <v>4</v>
      </c>
      <c r="K19">
        <v>60708</v>
      </c>
      <c r="L19" t="s">
        <v>5</v>
      </c>
      <c r="M19" t="s">
        <v>253</v>
      </c>
      <c r="N19" s="2">
        <v>0.57013888888888886</v>
      </c>
      <c r="O19" s="2">
        <v>0.57291666666666663</v>
      </c>
      <c r="P19" s="2">
        <v>0.57708333333333328</v>
      </c>
      <c r="Q19" s="2">
        <v>0.62152777777777779</v>
      </c>
      <c r="R19" s="2">
        <v>0.62430555555555556</v>
      </c>
      <c r="S19" s="2">
        <v>0.65277777777777779</v>
      </c>
      <c r="T19" t="s">
        <v>7</v>
      </c>
      <c r="U19" t="s">
        <v>265</v>
      </c>
      <c r="V19" t="s">
        <v>8</v>
      </c>
      <c r="X19" t="s">
        <v>58</v>
      </c>
      <c r="Y19" t="s">
        <v>59</v>
      </c>
      <c r="Z19">
        <v>2</v>
      </c>
      <c r="AA19">
        <v>4</v>
      </c>
      <c r="AB19" t="s">
        <v>11</v>
      </c>
      <c r="AC19" t="s">
        <v>12</v>
      </c>
      <c r="AD19" t="s">
        <v>60</v>
      </c>
      <c r="AF19" s="1">
        <v>31646</v>
      </c>
      <c r="AG19">
        <f t="shared" ca="1" si="2"/>
        <v>39</v>
      </c>
    </row>
    <row r="20" spans="1:33" x14ac:dyDescent="0.2">
      <c r="A20" s="1">
        <v>46050</v>
      </c>
      <c r="B20" t="str">
        <f t="shared" si="0"/>
        <v>mercredi</v>
      </c>
      <c r="C20" t="str">
        <f t="shared" si="1"/>
        <v>Nuit</v>
      </c>
      <c r="D20">
        <v>1510808</v>
      </c>
      <c r="E20">
        <v>2606963</v>
      </c>
      <c r="F20" t="s">
        <v>0</v>
      </c>
      <c r="G20" t="s">
        <v>1</v>
      </c>
      <c r="H20" t="s">
        <v>3</v>
      </c>
      <c r="I20" t="s">
        <v>203</v>
      </c>
      <c r="J20" t="s">
        <v>4</v>
      </c>
      <c r="K20">
        <v>60707</v>
      </c>
      <c r="L20" t="s">
        <v>61</v>
      </c>
      <c r="M20" t="s">
        <v>195</v>
      </c>
      <c r="N20" s="2">
        <v>0.24097222222222223</v>
      </c>
      <c r="O20" s="2">
        <v>0.24305555555555555</v>
      </c>
      <c r="P20" s="2">
        <v>0.24583333333333332</v>
      </c>
      <c r="Q20" s="2">
        <v>0.27152777777777776</v>
      </c>
      <c r="R20" s="2">
        <v>0.27777777777777779</v>
      </c>
      <c r="S20" s="2">
        <v>0.2951388888888889</v>
      </c>
      <c r="T20" t="s">
        <v>7</v>
      </c>
      <c r="U20" t="s">
        <v>265</v>
      </c>
      <c r="V20" t="s">
        <v>8</v>
      </c>
      <c r="X20" t="s">
        <v>9</v>
      </c>
      <c r="Y20" t="s">
        <v>59</v>
      </c>
      <c r="Z20">
        <v>1</v>
      </c>
      <c r="AA20">
        <v>4</v>
      </c>
      <c r="AB20" t="s">
        <v>11</v>
      </c>
      <c r="AC20" t="s">
        <v>12</v>
      </c>
      <c r="AD20" t="s">
        <v>62</v>
      </c>
      <c r="AE20" t="s">
        <v>29</v>
      </c>
      <c r="AF20" s="1">
        <v>15549</v>
      </c>
      <c r="AG20">
        <f t="shared" ca="1" si="2"/>
        <v>83</v>
      </c>
    </row>
    <row r="21" spans="1:33" x14ac:dyDescent="0.2">
      <c r="A21" s="1">
        <v>46046</v>
      </c>
      <c r="B21" t="str">
        <f t="shared" si="0"/>
        <v>samedi</v>
      </c>
      <c r="C21" t="str">
        <f t="shared" si="1"/>
        <v>Jour</v>
      </c>
      <c r="D21">
        <v>1494481</v>
      </c>
      <c r="E21">
        <v>2606103</v>
      </c>
      <c r="F21" t="s">
        <v>15</v>
      </c>
      <c r="G21" t="s">
        <v>1</v>
      </c>
      <c r="H21" t="s">
        <v>3</v>
      </c>
      <c r="I21" t="s">
        <v>63</v>
      </c>
      <c r="J21" t="s">
        <v>4</v>
      </c>
      <c r="K21">
        <v>60708</v>
      </c>
      <c r="L21" t="s">
        <v>61</v>
      </c>
      <c r="M21" t="s">
        <v>204</v>
      </c>
      <c r="N21" s="2">
        <v>0.7729166666666667</v>
      </c>
      <c r="O21" s="2">
        <v>0.77361111111111114</v>
      </c>
      <c r="P21" s="2">
        <v>0.77500000000000002</v>
      </c>
      <c r="Q21" s="2">
        <v>0.78680555555555554</v>
      </c>
      <c r="R21" s="2">
        <v>0.78888888888888886</v>
      </c>
      <c r="S21" s="2">
        <v>0.79861111111111116</v>
      </c>
      <c r="T21" t="s">
        <v>43</v>
      </c>
      <c r="U21" t="s">
        <v>263</v>
      </c>
      <c r="V21" t="s">
        <v>24</v>
      </c>
      <c r="X21" t="s">
        <v>9</v>
      </c>
      <c r="Y21" t="s">
        <v>10</v>
      </c>
      <c r="Z21">
        <v>2</v>
      </c>
      <c r="AA21">
        <v>4</v>
      </c>
      <c r="AB21" t="s">
        <v>11</v>
      </c>
      <c r="AC21" t="s">
        <v>12</v>
      </c>
      <c r="AD21" t="s">
        <v>13</v>
      </c>
      <c r="AE21" t="s">
        <v>14</v>
      </c>
      <c r="AF21" s="1">
        <v>26623</v>
      </c>
      <c r="AG21">
        <f t="shared" ca="1" si="2"/>
        <v>53</v>
      </c>
    </row>
    <row r="22" spans="1:33" x14ac:dyDescent="0.2">
      <c r="A22" s="1">
        <v>46049</v>
      </c>
      <c r="B22" t="str">
        <f t="shared" si="0"/>
        <v>mardi</v>
      </c>
      <c r="C22" t="str">
        <f t="shared" si="1"/>
        <v>Nuit</v>
      </c>
      <c r="D22">
        <v>2606923</v>
      </c>
      <c r="E22">
        <v>1510803</v>
      </c>
      <c r="F22" t="s">
        <v>0</v>
      </c>
      <c r="G22" t="s">
        <v>1</v>
      </c>
      <c r="H22" t="s">
        <v>3</v>
      </c>
      <c r="I22" t="s">
        <v>203</v>
      </c>
      <c r="J22" t="s">
        <v>4</v>
      </c>
      <c r="K22">
        <v>60707</v>
      </c>
      <c r="L22" t="s">
        <v>5</v>
      </c>
      <c r="M22" t="s">
        <v>6</v>
      </c>
      <c r="N22" s="2">
        <v>0.91805555555555551</v>
      </c>
      <c r="O22" s="2">
        <v>0.92013888888888884</v>
      </c>
      <c r="P22" s="2">
        <v>0.92569444444444449</v>
      </c>
      <c r="Q22" s="2">
        <v>0.94444444444444442</v>
      </c>
      <c r="R22" s="2">
        <v>0.9604166666666667</v>
      </c>
      <c r="S22" s="2">
        <v>0.97569444444444442</v>
      </c>
      <c r="T22" t="s">
        <v>64</v>
      </c>
      <c r="U22" t="s">
        <v>65</v>
      </c>
      <c r="V22" t="s">
        <v>8</v>
      </c>
      <c r="X22" t="s">
        <v>66</v>
      </c>
      <c r="Y22" t="s">
        <v>205</v>
      </c>
      <c r="Z22">
        <v>2</v>
      </c>
      <c r="AA22">
        <v>3</v>
      </c>
      <c r="AB22" t="s">
        <v>11</v>
      </c>
      <c r="AC22" t="s">
        <v>12</v>
      </c>
      <c r="AD22" t="s">
        <v>20</v>
      </c>
      <c r="AE22" t="s">
        <v>29</v>
      </c>
      <c r="AF22" s="1">
        <v>32060</v>
      </c>
      <c r="AG22">
        <f t="shared" ca="1" si="2"/>
        <v>38</v>
      </c>
    </row>
    <row r="23" spans="1:33" x14ac:dyDescent="0.2">
      <c r="A23" s="1">
        <v>46053</v>
      </c>
      <c r="B23" t="str">
        <f t="shared" si="0"/>
        <v>samedi</v>
      </c>
      <c r="C23" t="str">
        <f t="shared" si="1"/>
        <v>Jour</v>
      </c>
      <c r="D23">
        <v>1510827</v>
      </c>
      <c r="E23">
        <v>2607922</v>
      </c>
      <c r="F23" t="s">
        <v>56</v>
      </c>
      <c r="G23" t="s">
        <v>1</v>
      </c>
      <c r="H23" t="s">
        <v>55</v>
      </c>
      <c r="I23" t="s">
        <v>67</v>
      </c>
      <c r="J23" t="s">
        <v>4</v>
      </c>
      <c r="K23">
        <v>60707</v>
      </c>
      <c r="L23" t="s">
        <v>5</v>
      </c>
      <c r="M23" t="s">
        <v>6</v>
      </c>
      <c r="N23" s="2">
        <v>0.41111111111111109</v>
      </c>
      <c r="O23" s="2">
        <v>0.41111111111111109</v>
      </c>
      <c r="P23" s="2">
        <v>0.41249999999999998</v>
      </c>
      <c r="Q23" s="2">
        <v>0.4152777777777778</v>
      </c>
      <c r="S23" s="2">
        <v>0.44722222222222224</v>
      </c>
      <c r="T23" t="s">
        <v>7</v>
      </c>
      <c r="U23" t="s">
        <v>265</v>
      </c>
      <c r="V23" t="s">
        <v>47</v>
      </c>
      <c r="W23" t="s">
        <v>199</v>
      </c>
      <c r="X23" t="s">
        <v>206</v>
      </c>
      <c r="Y23" t="s">
        <v>207</v>
      </c>
      <c r="Z23">
        <v>3</v>
      </c>
      <c r="AA23">
        <v>2</v>
      </c>
      <c r="AB23" t="s">
        <v>11</v>
      </c>
      <c r="AC23" t="s">
        <v>12</v>
      </c>
      <c r="AD23" t="s">
        <v>20</v>
      </c>
      <c r="AE23" t="s">
        <v>29</v>
      </c>
      <c r="AF23" s="1">
        <v>12427</v>
      </c>
      <c r="AG23">
        <f t="shared" ca="1" si="2"/>
        <v>92</v>
      </c>
    </row>
    <row r="24" spans="1:33" x14ac:dyDescent="0.2">
      <c r="A24" s="1">
        <v>46050</v>
      </c>
      <c r="B24" t="str">
        <f t="shared" si="0"/>
        <v>mercredi</v>
      </c>
      <c r="C24" t="str">
        <f t="shared" si="1"/>
        <v>Jour</v>
      </c>
      <c r="D24">
        <v>1510701</v>
      </c>
      <c r="E24">
        <v>2607214</v>
      </c>
      <c r="F24" t="s">
        <v>56</v>
      </c>
      <c r="G24" t="s">
        <v>1</v>
      </c>
      <c r="H24" t="s">
        <v>68</v>
      </c>
      <c r="I24" t="s">
        <v>69</v>
      </c>
      <c r="J24" t="s">
        <v>4</v>
      </c>
      <c r="K24">
        <v>60708</v>
      </c>
      <c r="L24" t="s">
        <v>5</v>
      </c>
      <c r="M24" t="s">
        <v>6</v>
      </c>
      <c r="N24" s="2">
        <v>0.76249999999999996</v>
      </c>
      <c r="O24" s="2">
        <v>0.76249999999999996</v>
      </c>
      <c r="S24" s="2">
        <v>0.76597222222222228</v>
      </c>
      <c r="T24" t="s">
        <v>7</v>
      </c>
      <c r="U24" t="s">
        <v>70</v>
      </c>
      <c r="V24" t="s">
        <v>204</v>
      </c>
      <c r="X24" t="s">
        <v>72</v>
      </c>
      <c r="Y24" t="s">
        <v>187</v>
      </c>
      <c r="Z24" t="s">
        <v>73</v>
      </c>
      <c r="AA24">
        <v>9</v>
      </c>
      <c r="AB24" t="s">
        <v>11</v>
      </c>
      <c r="AC24" t="s">
        <v>73</v>
      </c>
      <c r="AD24" t="s">
        <v>20</v>
      </c>
      <c r="AE24" t="s">
        <v>14</v>
      </c>
      <c r="AF24" s="1">
        <v>21916</v>
      </c>
      <c r="AG24">
        <f t="shared" ca="1" si="2"/>
        <v>66</v>
      </c>
    </row>
    <row r="25" spans="1:33" x14ac:dyDescent="0.2">
      <c r="A25" s="1">
        <v>46053</v>
      </c>
      <c r="B25" t="str">
        <f t="shared" si="0"/>
        <v>samedi</v>
      </c>
      <c r="C25" t="str">
        <f t="shared" si="1"/>
        <v>Jour</v>
      </c>
      <c r="D25">
        <v>1510831</v>
      </c>
      <c r="E25">
        <v>2608029</v>
      </c>
      <c r="F25" t="s">
        <v>56</v>
      </c>
      <c r="G25" t="s">
        <v>16</v>
      </c>
      <c r="H25" t="s">
        <v>55</v>
      </c>
      <c r="I25" t="s">
        <v>67</v>
      </c>
      <c r="J25" t="s">
        <v>4</v>
      </c>
      <c r="K25">
        <v>60707</v>
      </c>
      <c r="L25" t="s">
        <v>5</v>
      </c>
      <c r="M25" t="s">
        <v>6</v>
      </c>
      <c r="N25" s="2">
        <v>0.71805555555555556</v>
      </c>
      <c r="O25" s="2">
        <v>0.72083333333333333</v>
      </c>
      <c r="P25" s="2">
        <v>0.72847222222222219</v>
      </c>
      <c r="Q25" s="2">
        <v>0.75416666666666665</v>
      </c>
      <c r="R25" s="2">
        <v>0.76249999999999996</v>
      </c>
      <c r="S25" s="2">
        <v>0.79166666666666663</v>
      </c>
      <c r="T25" t="s">
        <v>7</v>
      </c>
      <c r="U25" t="s">
        <v>251</v>
      </c>
      <c r="V25" t="s">
        <v>8</v>
      </c>
      <c r="X25" t="s">
        <v>74</v>
      </c>
      <c r="Y25" t="s">
        <v>75</v>
      </c>
      <c r="Z25">
        <v>3</v>
      </c>
      <c r="AA25">
        <v>3</v>
      </c>
      <c r="AB25" t="s">
        <v>11</v>
      </c>
      <c r="AC25" t="s">
        <v>28</v>
      </c>
      <c r="AD25" t="s">
        <v>44</v>
      </c>
      <c r="AE25" t="s">
        <v>14</v>
      </c>
      <c r="AF25" s="1">
        <v>14340</v>
      </c>
      <c r="AG25">
        <f t="shared" ca="1" si="2"/>
        <v>86</v>
      </c>
    </row>
    <row r="26" spans="1:33" x14ac:dyDescent="0.2">
      <c r="A26" s="1">
        <v>46053</v>
      </c>
      <c r="B26" t="str">
        <f t="shared" si="0"/>
        <v>samedi</v>
      </c>
      <c r="C26" t="str">
        <f t="shared" si="1"/>
        <v>Nuit</v>
      </c>
      <c r="D26">
        <v>1510900</v>
      </c>
      <c r="E26">
        <v>2608097</v>
      </c>
      <c r="F26" t="s">
        <v>0</v>
      </c>
      <c r="G26" t="s">
        <v>1</v>
      </c>
      <c r="H26" t="s">
        <v>41</v>
      </c>
      <c r="I26" t="s">
        <v>37</v>
      </c>
      <c r="J26" t="s">
        <v>4</v>
      </c>
      <c r="K26">
        <v>60706</v>
      </c>
      <c r="L26" t="s">
        <v>5</v>
      </c>
      <c r="M26" t="s">
        <v>6</v>
      </c>
      <c r="N26" s="2">
        <v>0.94652777777777775</v>
      </c>
      <c r="O26" s="2">
        <v>0.94652777777777775</v>
      </c>
      <c r="P26" s="2">
        <v>0.94930555555555551</v>
      </c>
      <c r="Q26" s="2">
        <v>0.96388888888888891</v>
      </c>
      <c r="R26" s="2">
        <v>0.96805555555555556</v>
      </c>
      <c r="S26" s="2">
        <v>0.98611111111111116</v>
      </c>
      <c r="T26" t="s">
        <v>7</v>
      </c>
      <c r="U26" t="s">
        <v>265</v>
      </c>
      <c r="V26" t="s">
        <v>24</v>
      </c>
      <c r="X26" t="s">
        <v>9</v>
      </c>
      <c r="Y26" t="s">
        <v>10</v>
      </c>
      <c r="Z26">
        <v>2</v>
      </c>
      <c r="AA26">
        <v>4</v>
      </c>
      <c r="AB26" t="s">
        <v>11</v>
      </c>
      <c r="AC26" t="s">
        <v>12</v>
      </c>
      <c r="AD26" t="s">
        <v>13</v>
      </c>
      <c r="AE26" t="s">
        <v>14</v>
      </c>
      <c r="AF26" s="1">
        <v>27117</v>
      </c>
      <c r="AG26">
        <f t="shared" ca="1" si="2"/>
        <v>51</v>
      </c>
    </row>
    <row r="27" spans="1:33" x14ac:dyDescent="0.2">
      <c r="A27" s="1">
        <v>46053</v>
      </c>
      <c r="B27" t="str">
        <f t="shared" si="0"/>
        <v>samedi</v>
      </c>
      <c r="C27" t="str">
        <f t="shared" si="1"/>
        <v>Nuit</v>
      </c>
      <c r="D27">
        <v>1510981</v>
      </c>
      <c r="E27">
        <v>2608071</v>
      </c>
      <c r="F27" t="s">
        <v>45</v>
      </c>
      <c r="G27" t="s">
        <v>1</v>
      </c>
      <c r="H27" t="s">
        <v>23</v>
      </c>
      <c r="I27" t="s">
        <v>42</v>
      </c>
      <c r="J27" t="s">
        <v>4</v>
      </c>
      <c r="K27">
        <v>60705</v>
      </c>
      <c r="L27" t="s">
        <v>5</v>
      </c>
      <c r="M27" t="s">
        <v>6</v>
      </c>
      <c r="N27" s="2">
        <v>0.83750000000000002</v>
      </c>
      <c r="O27" s="2">
        <v>0.83958333333333335</v>
      </c>
      <c r="P27" s="2">
        <v>0.84375</v>
      </c>
      <c r="Q27" s="2">
        <v>0.85416666666666663</v>
      </c>
      <c r="R27" s="2">
        <v>0.85763888888888884</v>
      </c>
      <c r="S27" s="2">
        <v>0.875</v>
      </c>
      <c r="T27" t="s">
        <v>7</v>
      </c>
      <c r="U27" t="s">
        <v>251</v>
      </c>
      <c r="V27" t="s">
        <v>8</v>
      </c>
      <c r="X27" t="s">
        <v>76</v>
      </c>
      <c r="Y27" t="s">
        <v>77</v>
      </c>
      <c r="Z27">
        <v>1</v>
      </c>
      <c r="AA27">
        <v>3</v>
      </c>
      <c r="AB27" t="s">
        <v>11</v>
      </c>
      <c r="AC27" t="s">
        <v>28</v>
      </c>
      <c r="AD27" t="s">
        <v>20</v>
      </c>
      <c r="AE27" t="s">
        <v>14</v>
      </c>
      <c r="AF27" s="1">
        <v>24898</v>
      </c>
      <c r="AG27">
        <f t="shared" ca="1" si="2"/>
        <v>57</v>
      </c>
    </row>
    <row r="28" spans="1:33" x14ac:dyDescent="0.2">
      <c r="A28" s="1">
        <v>46053</v>
      </c>
      <c r="B28" t="str">
        <f t="shared" si="0"/>
        <v>samedi</v>
      </c>
      <c r="C28" t="str">
        <f t="shared" si="1"/>
        <v>Nuit</v>
      </c>
      <c r="D28">
        <v>1510895</v>
      </c>
      <c r="E28">
        <v>2607882</v>
      </c>
      <c r="F28" t="s">
        <v>0</v>
      </c>
      <c r="G28" t="s">
        <v>16</v>
      </c>
      <c r="H28" t="s">
        <v>41</v>
      </c>
      <c r="I28" t="s">
        <v>202</v>
      </c>
      <c r="J28" t="s">
        <v>4</v>
      </c>
      <c r="K28">
        <v>60706</v>
      </c>
      <c r="L28" t="s">
        <v>5</v>
      </c>
      <c r="M28" t="s">
        <v>6</v>
      </c>
      <c r="N28" s="2">
        <v>0.14444444444444443</v>
      </c>
      <c r="O28" s="2">
        <v>0.14652777777777778</v>
      </c>
      <c r="P28" s="2">
        <v>0.15</v>
      </c>
      <c r="Q28" s="2">
        <v>0.16875000000000001</v>
      </c>
      <c r="R28" s="2">
        <v>0.17777777777777778</v>
      </c>
      <c r="S28" s="2">
        <v>0.19444444444444445</v>
      </c>
      <c r="T28" t="s">
        <v>8</v>
      </c>
      <c r="U28" t="s">
        <v>32</v>
      </c>
      <c r="V28" t="s">
        <v>8</v>
      </c>
      <c r="X28" t="s">
        <v>33</v>
      </c>
      <c r="Y28" t="s">
        <v>208</v>
      </c>
      <c r="Z28">
        <v>3</v>
      </c>
      <c r="AA28">
        <v>3</v>
      </c>
      <c r="AB28" t="s">
        <v>11</v>
      </c>
      <c r="AC28" t="s">
        <v>28</v>
      </c>
      <c r="AD28" t="s">
        <v>20</v>
      </c>
      <c r="AE28" t="s">
        <v>14</v>
      </c>
      <c r="AF28" s="1">
        <v>14787</v>
      </c>
      <c r="AG28">
        <f t="shared" ca="1" si="2"/>
        <v>85</v>
      </c>
    </row>
    <row r="29" spans="1:33" x14ac:dyDescent="0.2">
      <c r="A29" s="1">
        <v>46053</v>
      </c>
      <c r="B29" t="str">
        <f t="shared" si="0"/>
        <v>samedi</v>
      </c>
      <c r="C29" t="str">
        <f t="shared" si="1"/>
        <v>Nuit</v>
      </c>
      <c r="D29">
        <v>1494364</v>
      </c>
      <c r="E29">
        <v>2607895</v>
      </c>
      <c r="F29" t="s">
        <v>45</v>
      </c>
      <c r="G29" t="s">
        <v>16</v>
      </c>
      <c r="H29" t="s">
        <v>23</v>
      </c>
      <c r="I29" t="s">
        <v>42</v>
      </c>
      <c r="J29" t="s">
        <v>4</v>
      </c>
      <c r="K29">
        <v>60704</v>
      </c>
      <c r="L29" t="s">
        <v>5</v>
      </c>
      <c r="M29" t="s">
        <v>6</v>
      </c>
      <c r="N29" s="2">
        <v>0.25624999999999998</v>
      </c>
      <c r="O29" s="2">
        <v>0.2590277777777778</v>
      </c>
      <c r="P29" s="2">
        <v>0.2638888888888889</v>
      </c>
      <c r="Q29" s="2">
        <v>0.28263888888888888</v>
      </c>
      <c r="R29" s="2">
        <v>0.28958333333333336</v>
      </c>
      <c r="S29" s="2">
        <v>0.30069444444444443</v>
      </c>
      <c r="T29" t="s">
        <v>64</v>
      </c>
      <c r="U29" t="s">
        <v>251</v>
      </c>
      <c r="V29" t="s">
        <v>8</v>
      </c>
      <c r="X29" t="s">
        <v>200</v>
      </c>
      <c r="Y29" t="s">
        <v>51</v>
      </c>
      <c r="Z29">
        <v>3</v>
      </c>
      <c r="AA29">
        <v>2</v>
      </c>
      <c r="AB29" t="s">
        <v>11</v>
      </c>
      <c r="AC29" t="s">
        <v>12</v>
      </c>
      <c r="AD29" t="s">
        <v>36</v>
      </c>
      <c r="AE29" t="s">
        <v>29</v>
      </c>
      <c r="AF29" s="1">
        <v>33610</v>
      </c>
      <c r="AG29">
        <f t="shared" ca="1" si="2"/>
        <v>34</v>
      </c>
    </row>
    <row r="30" spans="1:33" x14ac:dyDescent="0.2">
      <c r="A30" s="1">
        <v>46053</v>
      </c>
      <c r="B30" t="str">
        <f t="shared" si="0"/>
        <v>samedi</v>
      </c>
      <c r="C30" t="str">
        <f t="shared" si="1"/>
        <v>Nuit</v>
      </c>
      <c r="D30">
        <v>1494362</v>
      </c>
      <c r="E30">
        <v>2607839</v>
      </c>
      <c r="F30" t="s">
        <v>45</v>
      </c>
      <c r="G30" t="s">
        <v>1</v>
      </c>
      <c r="H30" t="s">
        <v>23</v>
      </c>
      <c r="I30" t="s">
        <v>42</v>
      </c>
      <c r="J30" t="s">
        <v>4</v>
      </c>
      <c r="K30">
        <v>60704</v>
      </c>
      <c r="L30" t="s">
        <v>5</v>
      </c>
      <c r="M30" t="s">
        <v>6</v>
      </c>
      <c r="N30" s="2">
        <v>0.98124999999999996</v>
      </c>
      <c r="O30" s="2">
        <v>0.98263888888888884</v>
      </c>
      <c r="P30" s="2">
        <v>0.98958333333333337</v>
      </c>
      <c r="Q30" s="2">
        <v>2.2916666666666665E-2</v>
      </c>
      <c r="R30" s="2">
        <v>3.7499999999999999E-2</v>
      </c>
      <c r="S30" s="2">
        <v>6.5972222222222224E-2</v>
      </c>
      <c r="T30" t="s">
        <v>7</v>
      </c>
      <c r="U30" t="s">
        <v>251</v>
      </c>
      <c r="V30" t="s">
        <v>8</v>
      </c>
      <c r="X30" t="s">
        <v>74</v>
      </c>
      <c r="Y30" t="s">
        <v>75</v>
      </c>
      <c r="Z30">
        <v>3</v>
      </c>
      <c r="AA30">
        <v>3</v>
      </c>
      <c r="AB30" t="s">
        <v>11</v>
      </c>
      <c r="AC30" t="s">
        <v>28</v>
      </c>
      <c r="AD30" t="s">
        <v>44</v>
      </c>
      <c r="AE30" t="s">
        <v>14</v>
      </c>
      <c r="AF30" s="1">
        <v>10034</v>
      </c>
      <c r="AG30">
        <f t="shared" ca="1" si="2"/>
        <v>98</v>
      </c>
    </row>
    <row r="31" spans="1:33" x14ac:dyDescent="0.2">
      <c r="A31" s="1">
        <v>46053</v>
      </c>
      <c r="B31" t="str">
        <f t="shared" si="0"/>
        <v>samedi</v>
      </c>
      <c r="C31" t="str">
        <f t="shared" si="1"/>
        <v>Jour</v>
      </c>
      <c r="D31">
        <v>1494365</v>
      </c>
      <c r="E31">
        <v>2607955</v>
      </c>
      <c r="F31" t="s">
        <v>21</v>
      </c>
      <c r="G31" t="s">
        <v>16</v>
      </c>
      <c r="H31" t="s">
        <v>78</v>
      </c>
      <c r="I31" t="s">
        <v>49</v>
      </c>
      <c r="J31" t="s">
        <v>4</v>
      </c>
      <c r="K31">
        <v>60704</v>
      </c>
      <c r="L31" t="s">
        <v>5</v>
      </c>
      <c r="M31" t="s">
        <v>6</v>
      </c>
      <c r="N31" s="2">
        <v>0.52638888888888891</v>
      </c>
      <c r="O31" s="2">
        <v>0.52916666666666667</v>
      </c>
      <c r="P31" s="2">
        <v>0.53402777777777777</v>
      </c>
      <c r="Q31" s="2">
        <v>0.57222222222222219</v>
      </c>
      <c r="R31" s="2">
        <v>0.57777777777777772</v>
      </c>
      <c r="S31" s="2">
        <v>0.59375</v>
      </c>
      <c r="T31" t="s">
        <v>7</v>
      </c>
      <c r="U31" t="s">
        <v>251</v>
      </c>
      <c r="V31" t="s">
        <v>24</v>
      </c>
      <c r="X31" t="s">
        <v>33</v>
      </c>
      <c r="Y31" t="s">
        <v>79</v>
      </c>
      <c r="Z31">
        <v>2</v>
      </c>
      <c r="AA31">
        <v>2</v>
      </c>
      <c r="AB31" t="s">
        <v>11</v>
      </c>
      <c r="AC31" t="s">
        <v>12</v>
      </c>
      <c r="AD31" t="s">
        <v>20</v>
      </c>
      <c r="AE31" t="s">
        <v>14</v>
      </c>
      <c r="AF31" s="1">
        <v>37489</v>
      </c>
      <c r="AG31">
        <f t="shared" ca="1" si="2"/>
        <v>23</v>
      </c>
    </row>
    <row r="32" spans="1:33" x14ac:dyDescent="0.2">
      <c r="A32" s="1">
        <v>46053</v>
      </c>
      <c r="B32" t="str">
        <f t="shared" si="0"/>
        <v>samedi</v>
      </c>
      <c r="C32" t="str">
        <f t="shared" si="1"/>
        <v>Jour</v>
      </c>
      <c r="D32">
        <v>1494366</v>
      </c>
      <c r="E32">
        <v>2608013</v>
      </c>
      <c r="F32" t="s">
        <v>21</v>
      </c>
      <c r="G32" t="s">
        <v>16</v>
      </c>
      <c r="H32" t="s">
        <v>49</v>
      </c>
      <c r="I32" t="s">
        <v>78</v>
      </c>
      <c r="J32" t="s">
        <v>4</v>
      </c>
      <c r="K32">
        <v>60704</v>
      </c>
      <c r="L32" t="s">
        <v>5</v>
      </c>
      <c r="M32" t="s">
        <v>6</v>
      </c>
      <c r="N32" s="2">
        <v>0.67708333333333337</v>
      </c>
      <c r="O32" s="2">
        <v>0.68055555555555558</v>
      </c>
      <c r="P32" s="2">
        <v>0.68680555555555556</v>
      </c>
      <c r="Q32" s="2">
        <v>0.69374999999999998</v>
      </c>
      <c r="R32" s="2">
        <v>0.70208333333333328</v>
      </c>
      <c r="S32" s="2">
        <v>0.71944444444444444</v>
      </c>
      <c r="T32" t="s">
        <v>43</v>
      </c>
      <c r="U32" t="s">
        <v>251</v>
      </c>
      <c r="V32" t="s">
        <v>8</v>
      </c>
      <c r="X32" t="s">
        <v>209</v>
      </c>
      <c r="Y32" t="s">
        <v>80</v>
      </c>
      <c r="Z32">
        <v>2</v>
      </c>
      <c r="AA32">
        <v>2</v>
      </c>
      <c r="AB32" t="s">
        <v>11</v>
      </c>
      <c r="AC32" t="s">
        <v>12</v>
      </c>
      <c r="AD32" t="s">
        <v>20</v>
      </c>
      <c r="AE32" t="s">
        <v>29</v>
      </c>
      <c r="AF32" s="1">
        <v>33331</v>
      </c>
      <c r="AG32">
        <f t="shared" ca="1" si="2"/>
        <v>34</v>
      </c>
    </row>
    <row r="33" spans="1:33" x14ac:dyDescent="0.2">
      <c r="A33" s="1">
        <v>46053</v>
      </c>
      <c r="B33" t="str">
        <f t="shared" si="0"/>
        <v>samedi</v>
      </c>
      <c r="C33" t="str">
        <f t="shared" si="1"/>
        <v>Jour</v>
      </c>
      <c r="D33">
        <v>1510830</v>
      </c>
      <c r="E33">
        <v>2607983</v>
      </c>
      <c r="F33" t="s">
        <v>56</v>
      </c>
      <c r="G33" t="s">
        <v>1</v>
      </c>
      <c r="H33" t="s">
        <v>67</v>
      </c>
      <c r="I33" t="s">
        <v>55</v>
      </c>
      <c r="J33" t="s">
        <v>4</v>
      </c>
      <c r="K33">
        <v>60707</v>
      </c>
      <c r="L33" t="s">
        <v>5</v>
      </c>
      <c r="M33" t="s">
        <v>6</v>
      </c>
      <c r="N33" s="2">
        <v>0.6020833333333333</v>
      </c>
      <c r="O33" s="2">
        <v>0.6020833333333333</v>
      </c>
      <c r="P33" s="2">
        <v>0.60486111111111107</v>
      </c>
      <c r="Q33" s="2">
        <v>0.62916666666666665</v>
      </c>
      <c r="R33" s="2">
        <v>0.63263888888888886</v>
      </c>
      <c r="S33" s="2">
        <v>0.64722222222222225</v>
      </c>
      <c r="T33" t="s">
        <v>7</v>
      </c>
      <c r="U33" t="s">
        <v>265</v>
      </c>
      <c r="V33" t="s">
        <v>24</v>
      </c>
      <c r="X33" t="s">
        <v>252</v>
      </c>
      <c r="Y33" t="s">
        <v>48</v>
      </c>
      <c r="Z33">
        <v>3</v>
      </c>
      <c r="AA33">
        <v>2</v>
      </c>
      <c r="AB33" t="s">
        <v>11</v>
      </c>
      <c r="AC33" t="s">
        <v>12</v>
      </c>
      <c r="AD33" t="s">
        <v>20</v>
      </c>
      <c r="AE33" t="s">
        <v>29</v>
      </c>
      <c r="AF33" s="1">
        <v>15586</v>
      </c>
      <c r="AG33">
        <f t="shared" ca="1" si="2"/>
        <v>83</v>
      </c>
    </row>
    <row r="34" spans="1:33" x14ac:dyDescent="0.2">
      <c r="A34" s="1">
        <v>46053</v>
      </c>
      <c r="B34" t="str">
        <f t="shared" si="0"/>
        <v>samedi</v>
      </c>
      <c r="C34" t="str">
        <f t="shared" si="1"/>
        <v>Jour</v>
      </c>
      <c r="D34">
        <v>1510828</v>
      </c>
      <c r="E34">
        <v>2607938</v>
      </c>
      <c r="F34" t="s">
        <v>56</v>
      </c>
      <c r="G34" t="s">
        <v>1</v>
      </c>
      <c r="H34" t="s">
        <v>67</v>
      </c>
      <c r="I34" t="s">
        <v>55</v>
      </c>
      <c r="J34" t="s">
        <v>4</v>
      </c>
      <c r="K34">
        <v>60707</v>
      </c>
      <c r="L34" t="s">
        <v>61</v>
      </c>
      <c r="M34" t="s">
        <v>195</v>
      </c>
      <c r="N34" s="2">
        <v>0.45694444444444443</v>
      </c>
      <c r="O34" s="2">
        <v>0.45763888888888887</v>
      </c>
      <c r="P34" s="2">
        <v>0.46041666666666664</v>
      </c>
      <c r="Q34" s="2">
        <v>0.48541666666666666</v>
      </c>
      <c r="R34" s="2">
        <v>0.4909722222222222</v>
      </c>
      <c r="S34" s="2">
        <v>0.52083333333333337</v>
      </c>
      <c r="T34" t="s">
        <v>7</v>
      </c>
      <c r="U34" t="s">
        <v>54</v>
      </c>
      <c r="V34" t="s">
        <v>8</v>
      </c>
      <c r="X34" t="s">
        <v>9</v>
      </c>
      <c r="Y34" t="s">
        <v>10</v>
      </c>
      <c r="Z34">
        <v>1</v>
      </c>
      <c r="AA34">
        <v>4</v>
      </c>
      <c r="AB34" t="s">
        <v>11</v>
      </c>
      <c r="AC34" t="s">
        <v>12</v>
      </c>
      <c r="AD34" t="s">
        <v>13</v>
      </c>
      <c r="AE34" t="s">
        <v>14</v>
      </c>
      <c r="AF34" s="1">
        <v>18421</v>
      </c>
      <c r="AG34">
        <f t="shared" ca="1" si="2"/>
        <v>75</v>
      </c>
    </row>
    <row r="35" spans="1:33" x14ac:dyDescent="0.2">
      <c r="A35" s="1">
        <v>46053</v>
      </c>
      <c r="B35" t="str">
        <f t="shared" si="0"/>
        <v>samedi</v>
      </c>
      <c r="C35" t="str">
        <f t="shared" si="1"/>
        <v>Jour</v>
      </c>
      <c r="D35">
        <v>1475621</v>
      </c>
      <c r="E35">
        <v>2607972</v>
      </c>
      <c r="F35" t="s">
        <v>25</v>
      </c>
      <c r="G35" t="s">
        <v>25</v>
      </c>
      <c r="H35" t="s">
        <v>26</v>
      </c>
      <c r="I35" t="s">
        <v>189</v>
      </c>
      <c r="J35" t="s">
        <v>4</v>
      </c>
      <c r="K35">
        <v>60709</v>
      </c>
      <c r="L35" t="s">
        <v>5</v>
      </c>
      <c r="M35" t="s">
        <v>6</v>
      </c>
      <c r="N35" s="2">
        <v>0.56736111111111109</v>
      </c>
      <c r="O35" s="2">
        <v>0.57499999999999996</v>
      </c>
      <c r="P35" s="2">
        <v>0.57708333333333328</v>
      </c>
      <c r="Q35" s="2">
        <v>0.58680555555555558</v>
      </c>
      <c r="R35" s="2">
        <v>0.59513888888888888</v>
      </c>
      <c r="S35" s="2">
        <v>0.61805555555555558</v>
      </c>
      <c r="T35" t="s">
        <v>24</v>
      </c>
      <c r="U35" t="s">
        <v>265</v>
      </c>
      <c r="V35" t="s">
        <v>8</v>
      </c>
      <c r="X35" t="s">
        <v>190</v>
      </c>
      <c r="Y35" t="s">
        <v>191</v>
      </c>
      <c r="Z35">
        <v>2</v>
      </c>
      <c r="AA35">
        <v>3</v>
      </c>
      <c r="AB35" t="s">
        <v>11</v>
      </c>
      <c r="AC35" t="s">
        <v>12</v>
      </c>
      <c r="AD35" t="s">
        <v>20</v>
      </c>
      <c r="AE35" t="s">
        <v>14</v>
      </c>
      <c r="AF35" s="1">
        <v>27310</v>
      </c>
      <c r="AG35">
        <f t="shared" ca="1" si="2"/>
        <v>51</v>
      </c>
    </row>
    <row r="36" spans="1:33" x14ac:dyDescent="0.2">
      <c r="A36" s="1">
        <v>46053</v>
      </c>
      <c r="B36" t="str">
        <f t="shared" si="0"/>
        <v>samedi</v>
      </c>
      <c r="C36" t="str">
        <f t="shared" si="1"/>
        <v>Jour</v>
      </c>
      <c r="D36">
        <v>1510898</v>
      </c>
      <c r="E36">
        <v>2607979</v>
      </c>
      <c r="F36" t="s">
        <v>15</v>
      </c>
      <c r="G36" t="s">
        <v>16</v>
      </c>
      <c r="H36" t="s">
        <v>57</v>
      </c>
      <c r="I36" t="s">
        <v>81</v>
      </c>
      <c r="J36" t="s">
        <v>4</v>
      </c>
      <c r="K36">
        <v>60706</v>
      </c>
      <c r="L36" t="s">
        <v>5</v>
      </c>
      <c r="M36" t="s">
        <v>6</v>
      </c>
      <c r="N36" s="2">
        <v>0.58819444444444446</v>
      </c>
      <c r="O36" s="2">
        <v>0.58958333333333335</v>
      </c>
      <c r="P36" s="2">
        <v>0.59722222222222221</v>
      </c>
      <c r="S36" s="2">
        <v>0.62152777777777779</v>
      </c>
      <c r="T36" t="s">
        <v>38</v>
      </c>
      <c r="U36" t="s">
        <v>82</v>
      </c>
      <c r="V36" t="s">
        <v>47</v>
      </c>
      <c r="W36" t="s">
        <v>83</v>
      </c>
      <c r="X36" t="s">
        <v>192</v>
      </c>
      <c r="Y36" t="s">
        <v>198</v>
      </c>
      <c r="Z36">
        <v>3</v>
      </c>
      <c r="AA36">
        <v>2</v>
      </c>
      <c r="AB36" t="s">
        <v>11</v>
      </c>
      <c r="AC36" t="s">
        <v>28</v>
      </c>
      <c r="AD36" t="s">
        <v>20</v>
      </c>
      <c r="AE36" t="s">
        <v>14</v>
      </c>
      <c r="AF36" s="1">
        <v>10861</v>
      </c>
      <c r="AG36">
        <f t="shared" ca="1" si="2"/>
        <v>96</v>
      </c>
    </row>
    <row r="37" spans="1:33" x14ac:dyDescent="0.2">
      <c r="A37" s="1">
        <v>46053</v>
      </c>
      <c r="B37" t="str">
        <f t="shared" si="0"/>
        <v>samedi</v>
      </c>
      <c r="C37" t="str">
        <f t="shared" si="1"/>
        <v>Jour</v>
      </c>
      <c r="D37">
        <v>1510896</v>
      </c>
      <c r="E37">
        <v>2607913</v>
      </c>
      <c r="F37" t="s">
        <v>15</v>
      </c>
      <c r="G37" t="s">
        <v>1</v>
      </c>
      <c r="H37" t="s">
        <v>57</v>
      </c>
      <c r="I37" t="s">
        <v>81</v>
      </c>
      <c r="J37" t="s">
        <v>4</v>
      </c>
      <c r="K37">
        <v>60706</v>
      </c>
      <c r="L37" t="s">
        <v>5</v>
      </c>
      <c r="M37" t="s">
        <v>6</v>
      </c>
      <c r="N37" s="2">
        <v>0.39305555555555555</v>
      </c>
      <c r="O37" s="2">
        <v>0.39374999999999999</v>
      </c>
      <c r="P37" s="2">
        <v>0.39444444444444443</v>
      </c>
      <c r="Q37" s="2">
        <v>0.41041666666666665</v>
      </c>
      <c r="R37" s="2">
        <v>0.41597222222222224</v>
      </c>
      <c r="S37" s="2">
        <v>0.44166666666666665</v>
      </c>
      <c r="T37" t="s">
        <v>43</v>
      </c>
      <c r="U37" t="s">
        <v>263</v>
      </c>
      <c r="V37" t="s">
        <v>8</v>
      </c>
      <c r="X37" t="s">
        <v>200</v>
      </c>
      <c r="Y37" t="s">
        <v>210</v>
      </c>
      <c r="Z37">
        <v>2</v>
      </c>
      <c r="AA37">
        <v>4</v>
      </c>
      <c r="AB37" t="s">
        <v>11</v>
      </c>
      <c r="AC37" t="s">
        <v>12</v>
      </c>
      <c r="AD37" t="s">
        <v>20</v>
      </c>
      <c r="AE37" t="s">
        <v>14</v>
      </c>
      <c r="AF37" s="1">
        <v>38460</v>
      </c>
      <c r="AG37">
        <f t="shared" ca="1" si="2"/>
        <v>20</v>
      </c>
    </row>
    <row r="38" spans="1:33" x14ac:dyDescent="0.2">
      <c r="A38" s="1">
        <v>46053</v>
      </c>
      <c r="B38" t="str">
        <f t="shared" si="0"/>
        <v>samedi</v>
      </c>
      <c r="C38" t="str">
        <f t="shared" si="1"/>
        <v>Jour</v>
      </c>
      <c r="D38">
        <v>1510897</v>
      </c>
      <c r="E38">
        <v>2607951</v>
      </c>
      <c r="F38" t="s">
        <v>15</v>
      </c>
      <c r="G38" t="s">
        <v>16</v>
      </c>
      <c r="H38" t="s">
        <v>81</v>
      </c>
      <c r="I38" t="s">
        <v>57</v>
      </c>
      <c r="J38" t="s">
        <v>4</v>
      </c>
      <c r="K38">
        <v>60706</v>
      </c>
      <c r="L38" t="s">
        <v>5</v>
      </c>
      <c r="M38" t="s">
        <v>6</v>
      </c>
      <c r="N38" s="2">
        <v>0.50069444444444444</v>
      </c>
      <c r="O38" s="2">
        <v>0.50902777777777775</v>
      </c>
      <c r="P38" s="2">
        <v>0.5180555555555556</v>
      </c>
      <c r="Q38" s="2">
        <v>0.52361111111111114</v>
      </c>
      <c r="R38" s="2">
        <v>0.53888888888888886</v>
      </c>
      <c r="S38" s="2">
        <v>0.55555555555555558</v>
      </c>
      <c r="T38" t="s">
        <v>64</v>
      </c>
      <c r="U38" t="s">
        <v>32</v>
      </c>
      <c r="V38" t="s">
        <v>8</v>
      </c>
      <c r="X38" t="s">
        <v>33</v>
      </c>
      <c r="Y38" t="s">
        <v>84</v>
      </c>
      <c r="Z38">
        <v>3</v>
      </c>
      <c r="AA38">
        <v>3</v>
      </c>
      <c r="AB38" t="s">
        <v>11</v>
      </c>
      <c r="AC38" t="s">
        <v>28</v>
      </c>
      <c r="AD38" t="s">
        <v>20</v>
      </c>
      <c r="AE38" t="s">
        <v>29</v>
      </c>
      <c r="AF38" s="1">
        <v>37641</v>
      </c>
      <c r="AG38">
        <f t="shared" ca="1" si="2"/>
        <v>23</v>
      </c>
    </row>
    <row r="39" spans="1:33" x14ac:dyDescent="0.2">
      <c r="A39" s="1">
        <v>46052</v>
      </c>
      <c r="B39" t="str">
        <f t="shared" si="0"/>
        <v>vendredi</v>
      </c>
      <c r="C39" t="str">
        <f t="shared" si="1"/>
        <v>Jour</v>
      </c>
      <c r="D39">
        <v>1510892</v>
      </c>
      <c r="E39">
        <v>2607747</v>
      </c>
      <c r="F39" t="s">
        <v>15</v>
      </c>
      <c r="G39" t="s">
        <v>16</v>
      </c>
      <c r="H39" t="s">
        <v>81</v>
      </c>
      <c r="I39" t="s">
        <v>57</v>
      </c>
      <c r="J39" t="s">
        <v>4</v>
      </c>
      <c r="K39">
        <v>60706</v>
      </c>
      <c r="L39" t="s">
        <v>5</v>
      </c>
      <c r="M39" t="s">
        <v>6</v>
      </c>
      <c r="N39" s="2">
        <v>0.70208333333333328</v>
      </c>
      <c r="O39" s="2">
        <v>0.70347222222222228</v>
      </c>
      <c r="P39" s="2">
        <v>0.71527777777777779</v>
      </c>
      <c r="Q39" s="2">
        <v>0.72291666666666665</v>
      </c>
      <c r="R39" s="2">
        <v>0.74583333333333335</v>
      </c>
      <c r="S39" s="2">
        <v>0.76388888888888884</v>
      </c>
      <c r="T39" t="s">
        <v>64</v>
      </c>
      <c r="U39" t="s">
        <v>32</v>
      </c>
      <c r="V39" t="s">
        <v>8</v>
      </c>
      <c r="X39" t="s">
        <v>33</v>
      </c>
      <c r="Y39" t="s">
        <v>85</v>
      </c>
      <c r="Z39">
        <v>3</v>
      </c>
      <c r="AA39">
        <v>2</v>
      </c>
      <c r="AB39" t="s">
        <v>11</v>
      </c>
      <c r="AC39" t="s">
        <v>12</v>
      </c>
      <c r="AD39" t="s">
        <v>20</v>
      </c>
      <c r="AE39" t="s">
        <v>29</v>
      </c>
      <c r="AF39" s="1">
        <v>32060</v>
      </c>
      <c r="AG39">
        <f t="shared" ca="1" si="2"/>
        <v>38</v>
      </c>
    </row>
    <row r="40" spans="1:33" x14ac:dyDescent="0.2">
      <c r="A40" s="1">
        <v>46052</v>
      </c>
      <c r="B40" t="str">
        <f t="shared" si="0"/>
        <v>vendredi</v>
      </c>
      <c r="C40" t="str">
        <f t="shared" si="1"/>
        <v>Nuit</v>
      </c>
      <c r="D40">
        <v>1510894</v>
      </c>
      <c r="E40">
        <v>2607845</v>
      </c>
      <c r="F40" t="s">
        <v>0</v>
      </c>
      <c r="G40" t="s">
        <v>25</v>
      </c>
      <c r="H40" t="s">
        <v>202</v>
      </c>
      <c r="I40" t="s">
        <v>41</v>
      </c>
      <c r="J40" t="s">
        <v>4</v>
      </c>
      <c r="K40">
        <v>60706</v>
      </c>
      <c r="L40" t="s">
        <v>5</v>
      </c>
      <c r="M40" t="s">
        <v>6</v>
      </c>
      <c r="N40" s="2">
        <v>0.99444444444444446</v>
      </c>
      <c r="O40" s="2">
        <v>0.99652777777777779</v>
      </c>
      <c r="P40" s="2">
        <v>2.0833333333333333E-3</v>
      </c>
      <c r="S40" s="2">
        <v>3.8194444444444448E-2</v>
      </c>
      <c r="T40" t="s">
        <v>7</v>
      </c>
      <c r="U40" t="s">
        <v>82</v>
      </c>
      <c r="V40" t="s">
        <v>47</v>
      </c>
      <c r="W40" t="s">
        <v>199</v>
      </c>
      <c r="X40" t="s">
        <v>19</v>
      </c>
      <c r="Y40" t="s">
        <v>211</v>
      </c>
      <c r="Z40">
        <v>3</v>
      </c>
      <c r="AA40">
        <v>1</v>
      </c>
      <c r="AB40" t="s">
        <v>11</v>
      </c>
      <c r="AC40" t="s">
        <v>12</v>
      </c>
      <c r="AD40" t="s">
        <v>20</v>
      </c>
      <c r="AE40" t="s">
        <v>14</v>
      </c>
      <c r="AF40" s="1">
        <v>18384</v>
      </c>
      <c r="AG40">
        <f t="shared" ca="1" si="2"/>
        <v>75</v>
      </c>
    </row>
    <row r="41" spans="1:33" x14ac:dyDescent="0.2">
      <c r="A41" s="1">
        <v>46053</v>
      </c>
      <c r="B41" t="str">
        <f t="shared" si="0"/>
        <v>samedi</v>
      </c>
      <c r="C41" t="str">
        <f t="shared" si="1"/>
        <v>Jour</v>
      </c>
      <c r="D41">
        <v>1475620</v>
      </c>
      <c r="E41">
        <v>2607904</v>
      </c>
      <c r="F41" t="s">
        <v>25</v>
      </c>
      <c r="G41" t="s">
        <v>25</v>
      </c>
      <c r="H41" t="s">
        <v>189</v>
      </c>
      <c r="I41" t="s">
        <v>26</v>
      </c>
      <c r="J41" t="s">
        <v>4</v>
      </c>
      <c r="K41">
        <v>60709</v>
      </c>
      <c r="L41" t="s">
        <v>5</v>
      </c>
      <c r="M41" t="s">
        <v>6</v>
      </c>
      <c r="N41" s="2">
        <v>0.34513888888888888</v>
      </c>
      <c r="O41" s="2">
        <v>0.34722222222222221</v>
      </c>
      <c r="P41" s="2">
        <v>0.3527777777777778</v>
      </c>
      <c r="Q41" s="2">
        <v>0.36736111111111114</v>
      </c>
      <c r="R41" s="2">
        <v>0.37222222222222223</v>
      </c>
      <c r="S41" s="2">
        <v>0.38611111111111113</v>
      </c>
      <c r="T41" t="s">
        <v>43</v>
      </c>
      <c r="U41" t="s">
        <v>265</v>
      </c>
      <c r="V41" t="s">
        <v>86</v>
      </c>
      <c r="X41" t="s">
        <v>19</v>
      </c>
      <c r="Y41" t="s">
        <v>40</v>
      </c>
      <c r="Z41">
        <v>2</v>
      </c>
      <c r="AA41">
        <v>3</v>
      </c>
      <c r="AB41" t="s">
        <v>11</v>
      </c>
      <c r="AC41" t="s">
        <v>12</v>
      </c>
      <c r="AD41" t="s">
        <v>20</v>
      </c>
      <c r="AE41" t="s">
        <v>14</v>
      </c>
      <c r="AF41" s="1">
        <v>22843</v>
      </c>
      <c r="AG41">
        <f t="shared" ca="1" si="2"/>
        <v>63</v>
      </c>
    </row>
    <row r="42" spans="1:33" x14ac:dyDescent="0.2">
      <c r="A42" s="1">
        <v>46052</v>
      </c>
      <c r="B42" t="str">
        <f t="shared" si="0"/>
        <v>vendredi</v>
      </c>
      <c r="C42" t="str">
        <f t="shared" si="1"/>
        <v>Jour</v>
      </c>
      <c r="D42">
        <v>1510893</v>
      </c>
      <c r="E42">
        <v>2607785</v>
      </c>
      <c r="F42" t="s">
        <v>0</v>
      </c>
      <c r="G42" t="s">
        <v>1</v>
      </c>
      <c r="H42" t="s">
        <v>41</v>
      </c>
      <c r="I42" t="s">
        <v>202</v>
      </c>
      <c r="J42" t="s">
        <v>4</v>
      </c>
      <c r="K42">
        <v>60706</v>
      </c>
      <c r="L42" t="s">
        <v>61</v>
      </c>
      <c r="M42" t="s">
        <v>195</v>
      </c>
      <c r="N42" s="2">
        <v>0.81527777777777777</v>
      </c>
      <c r="O42" s="2">
        <v>0.81666666666666665</v>
      </c>
      <c r="P42" s="2">
        <v>0.8208333333333333</v>
      </c>
      <c r="Q42" s="2">
        <v>0.83888888888888891</v>
      </c>
      <c r="R42" s="2">
        <v>0.84652777777777777</v>
      </c>
      <c r="S42" s="2">
        <v>0.86458333333333337</v>
      </c>
      <c r="T42" t="s">
        <v>8</v>
      </c>
      <c r="U42" t="s">
        <v>32</v>
      </c>
      <c r="V42" t="s">
        <v>8</v>
      </c>
      <c r="X42" t="s">
        <v>190</v>
      </c>
      <c r="Y42" t="s">
        <v>191</v>
      </c>
      <c r="Z42">
        <v>1</v>
      </c>
      <c r="AA42">
        <v>5</v>
      </c>
      <c r="AB42" t="s">
        <v>11</v>
      </c>
      <c r="AC42" t="s">
        <v>12</v>
      </c>
      <c r="AD42" t="s">
        <v>212</v>
      </c>
      <c r="AE42" t="s">
        <v>29</v>
      </c>
      <c r="AF42" s="1">
        <v>16087</v>
      </c>
      <c r="AG42">
        <f t="shared" ca="1" si="2"/>
        <v>82</v>
      </c>
    </row>
    <row r="43" spans="1:33" x14ac:dyDescent="0.2">
      <c r="A43" s="1">
        <v>46051</v>
      </c>
      <c r="B43" t="str">
        <f t="shared" si="0"/>
        <v>jeudi</v>
      </c>
      <c r="C43" t="str">
        <f t="shared" si="1"/>
        <v>Jour</v>
      </c>
      <c r="D43">
        <v>1475614</v>
      </c>
      <c r="E43">
        <v>2607463</v>
      </c>
      <c r="F43" t="s">
        <v>15</v>
      </c>
      <c r="G43" t="s">
        <v>16</v>
      </c>
      <c r="H43" t="s">
        <v>41</v>
      </c>
      <c r="I43" t="s">
        <v>42</v>
      </c>
      <c r="J43" t="s">
        <v>4</v>
      </c>
      <c r="K43">
        <v>60709</v>
      </c>
      <c r="L43" t="s">
        <v>5</v>
      </c>
      <c r="M43" t="s">
        <v>6</v>
      </c>
      <c r="N43" s="2">
        <v>0.65833333333333333</v>
      </c>
      <c r="O43" s="2">
        <v>0.65972222222222221</v>
      </c>
      <c r="P43" s="2">
        <v>0.67291666666666672</v>
      </c>
      <c r="Q43" s="2">
        <v>0.6875</v>
      </c>
      <c r="R43" s="2">
        <v>0.69861111111111107</v>
      </c>
      <c r="S43" s="2">
        <v>0.70833333333333337</v>
      </c>
      <c r="T43" t="s">
        <v>87</v>
      </c>
      <c r="U43" t="s">
        <v>54</v>
      </c>
      <c r="V43" t="s">
        <v>8</v>
      </c>
      <c r="X43" t="s">
        <v>88</v>
      </c>
      <c r="Y43" t="s">
        <v>89</v>
      </c>
      <c r="Z43" t="s">
        <v>188</v>
      </c>
      <c r="AA43">
        <v>2</v>
      </c>
      <c r="AB43" t="s">
        <v>11</v>
      </c>
      <c r="AC43" t="s">
        <v>28</v>
      </c>
      <c r="AD43" t="s">
        <v>20</v>
      </c>
      <c r="AE43" t="s">
        <v>14</v>
      </c>
      <c r="AF43" s="1">
        <v>42796</v>
      </c>
      <c r="AG43">
        <f t="shared" ca="1" si="2"/>
        <v>8</v>
      </c>
    </row>
    <row r="44" spans="1:33" x14ac:dyDescent="0.2">
      <c r="A44" s="1">
        <v>46051</v>
      </c>
      <c r="B44" t="str">
        <f t="shared" si="0"/>
        <v>jeudi</v>
      </c>
      <c r="C44" t="str">
        <f t="shared" si="1"/>
        <v>Nuit</v>
      </c>
      <c r="D44">
        <v>1510889</v>
      </c>
      <c r="E44">
        <v>2607568</v>
      </c>
      <c r="F44" t="s">
        <v>0</v>
      </c>
      <c r="G44" t="s">
        <v>90</v>
      </c>
      <c r="H44" t="s">
        <v>202</v>
      </c>
      <c r="I44" t="s">
        <v>213</v>
      </c>
      <c r="J44" t="s">
        <v>4</v>
      </c>
      <c r="K44">
        <v>60706</v>
      </c>
      <c r="L44" t="s">
        <v>5</v>
      </c>
      <c r="M44" t="s">
        <v>6</v>
      </c>
      <c r="N44" s="2">
        <v>0.94930555555555551</v>
      </c>
      <c r="O44" s="2">
        <v>0.9506944444444444</v>
      </c>
      <c r="P44" s="2">
        <v>0.96458333333333335</v>
      </c>
      <c r="Q44" s="2">
        <v>0.98124999999999996</v>
      </c>
      <c r="R44" s="2">
        <v>0.99513888888888891</v>
      </c>
      <c r="S44" s="2">
        <v>1.0416666666666666E-2</v>
      </c>
      <c r="T44" t="s">
        <v>8</v>
      </c>
      <c r="U44" t="s">
        <v>18</v>
      </c>
      <c r="V44" t="s">
        <v>8</v>
      </c>
      <c r="X44" t="s">
        <v>192</v>
      </c>
      <c r="Y44" t="s">
        <v>198</v>
      </c>
      <c r="Z44">
        <v>2</v>
      </c>
      <c r="AA44">
        <v>2</v>
      </c>
      <c r="AB44" t="s">
        <v>11</v>
      </c>
      <c r="AC44" t="s">
        <v>28</v>
      </c>
      <c r="AD44" t="s">
        <v>20</v>
      </c>
      <c r="AE44" t="s">
        <v>29</v>
      </c>
      <c r="AF44" s="1">
        <v>19565</v>
      </c>
      <c r="AG44">
        <f t="shared" ca="1" si="2"/>
        <v>72</v>
      </c>
    </row>
    <row r="45" spans="1:33" x14ac:dyDescent="0.2">
      <c r="A45" s="1">
        <v>46052</v>
      </c>
      <c r="B45" t="str">
        <f t="shared" si="0"/>
        <v>vendredi</v>
      </c>
      <c r="C45" t="str">
        <f t="shared" si="1"/>
        <v>Jour</v>
      </c>
      <c r="D45">
        <v>1494007</v>
      </c>
      <c r="E45">
        <v>2607744</v>
      </c>
      <c r="F45" t="s">
        <v>25</v>
      </c>
      <c r="G45" t="s">
        <v>91</v>
      </c>
      <c r="H45" t="s">
        <v>197</v>
      </c>
      <c r="I45" t="s">
        <v>37</v>
      </c>
      <c r="J45" t="s">
        <v>4</v>
      </c>
      <c r="K45">
        <v>60708</v>
      </c>
      <c r="L45" t="s">
        <v>5</v>
      </c>
      <c r="M45" t="s">
        <v>6</v>
      </c>
      <c r="N45" s="2">
        <v>0.69722222222222219</v>
      </c>
      <c r="O45" s="2">
        <v>0.69930555555555551</v>
      </c>
      <c r="P45" s="2">
        <v>0.71180555555555558</v>
      </c>
      <c r="Q45" s="2">
        <v>0.72083333333333333</v>
      </c>
      <c r="R45" s="2">
        <v>0.74583333333333335</v>
      </c>
      <c r="S45" s="2">
        <v>0.76388888888888884</v>
      </c>
      <c r="T45" t="s">
        <v>8</v>
      </c>
      <c r="U45" t="s">
        <v>32</v>
      </c>
      <c r="V45" t="s">
        <v>8</v>
      </c>
      <c r="X45" t="s">
        <v>33</v>
      </c>
      <c r="Y45" t="s">
        <v>34</v>
      </c>
      <c r="Z45">
        <v>3</v>
      </c>
      <c r="AA45">
        <v>3</v>
      </c>
      <c r="AB45" t="s">
        <v>11</v>
      </c>
      <c r="AC45" t="s">
        <v>12</v>
      </c>
      <c r="AD45" t="s">
        <v>20</v>
      </c>
      <c r="AE45" t="s">
        <v>29</v>
      </c>
      <c r="AF45" s="1">
        <v>16270</v>
      </c>
      <c r="AG45">
        <f t="shared" ca="1" si="2"/>
        <v>81</v>
      </c>
    </row>
    <row r="46" spans="1:33" x14ac:dyDescent="0.2">
      <c r="A46" s="1">
        <v>46052</v>
      </c>
      <c r="B46" t="str">
        <f t="shared" si="0"/>
        <v>vendredi</v>
      </c>
      <c r="C46" t="str">
        <f t="shared" si="1"/>
        <v>Jour</v>
      </c>
      <c r="D46">
        <v>1494005</v>
      </c>
      <c r="E46">
        <v>2607668</v>
      </c>
      <c r="F46" t="s">
        <v>25</v>
      </c>
      <c r="G46" t="s">
        <v>25</v>
      </c>
      <c r="H46" t="s">
        <v>197</v>
      </c>
      <c r="I46" t="s">
        <v>37</v>
      </c>
      <c r="J46" t="s">
        <v>4</v>
      </c>
      <c r="K46">
        <v>60708</v>
      </c>
      <c r="L46" t="s">
        <v>5</v>
      </c>
      <c r="M46" t="s">
        <v>6</v>
      </c>
      <c r="N46" s="2">
        <v>0.48055555555555557</v>
      </c>
      <c r="O46" s="2">
        <v>0.48958333333333331</v>
      </c>
      <c r="P46" s="2">
        <v>0.49236111111111114</v>
      </c>
      <c r="Q46" s="2">
        <v>0.5131944444444444</v>
      </c>
      <c r="R46" s="2">
        <v>0.5229166666666667</v>
      </c>
      <c r="S46" s="2">
        <v>0.53472222222222221</v>
      </c>
      <c r="T46" t="s">
        <v>7</v>
      </c>
      <c r="U46" t="s">
        <v>265</v>
      </c>
      <c r="V46" t="s">
        <v>8</v>
      </c>
      <c r="X46" t="s">
        <v>33</v>
      </c>
      <c r="Y46" t="s">
        <v>80</v>
      </c>
      <c r="Z46">
        <v>3</v>
      </c>
      <c r="AA46">
        <v>3</v>
      </c>
      <c r="AB46" t="s">
        <v>11</v>
      </c>
      <c r="AC46" t="s">
        <v>12</v>
      </c>
      <c r="AD46" t="s">
        <v>20</v>
      </c>
      <c r="AE46" t="s">
        <v>29</v>
      </c>
      <c r="AF46" s="1">
        <v>29953</v>
      </c>
      <c r="AG46">
        <f t="shared" ca="1" si="2"/>
        <v>44</v>
      </c>
    </row>
    <row r="47" spans="1:33" x14ac:dyDescent="0.2">
      <c r="A47" s="1">
        <v>46052</v>
      </c>
      <c r="B47" t="str">
        <f t="shared" si="0"/>
        <v>vendredi</v>
      </c>
      <c r="C47" t="str">
        <f t="shared" si="1"/>
        <v>Jour</v>
      </c>
      <c r="D47">
        <v>1510825</v>
      </c>
      <c r="E47">
        <v>2607695</v>
      </c>
      <c r="F47" t="s">
        <v>56</v>
      </c>
      <c r="G47" t="s">
        <v>92</v>
      </c>
      <c r="H47" t="s">
        <v>63</v>
      </c>
      <c r="I47" t="s">
        <v>78</v>
      </c>
      <c r="J47" t="s">
        <v>4</v>
      </c>
      <c r="K47">
        <v>60707</v>
      </c>
      <c r="L47" t="s">
        <v>5</v>
      </c>
      <c r="M47" t="s">
        <v>6</v>
      </c>
      <c r="N47" s="2">
        <v>0.5625</v>
      </c>
      <c r="O47" s="2">
        <v>0.56388888888888888</v>
      </c>
      <c r="P47" s="2">
        <v>0.57013888888888886</v>
      </c>
      <c r="Q47" s="2">
        <v>0.58472222222222225</v>
      </c>
      <c r="R47" s="2">
        <v>0.59791666666666665</v>
      </c>
      <c r="S47" s="2">
        <v>0.61458333333333337</v>
      </c>
      <c r="T47" t="s">
        <v>8</v>
      </c>
      <c r="U47" t="s">
        <v>32</v>
      </c>
      <c r="V47" t="s">
        <v>8</v>
      </c>
      <c r="X47" t="s">
        <v>214</v>
      </c>
      <c r="Y47" t="s">
        <v>40</v>
      </c>
      <c r="Z47">
        <v>2</v>
      </c>
      <c r="AA47">
        <v>3</v>
      </c>
      <c r="AB47" t="s">
        <v>11</v>
      </c>
      <c r="AC47" t="s">
        <v>12</v>
      </c>
      <c r="AD47" t="s">
        <v>20</v>
      </c>
      <c r="AE47" t="s">
        <v>29</v>
      </c>
      <c r="AF47" s="1">
        <v>15195</v>
      </c>
      <c r="AG47">
        <f t="shared" ca="1" si="2"/>
        <v>84</v>
      </c>
    </row>
    <row r="48" spans="1:33" x14ac:dyDescent="0.2">
      <c r="A48" s="1">
        <v>46052</v>
      </c>
      <c r="B48" t="str">
        <f t="shared" si="0"/>
        <v>vendredi</v>
      </c>
      <c r="C48" t="str">
        <f t="shared" si="1"/>
        <v>Jour</v>
      </c>
      <c r="D48">
        <v>1510826</v>
      </c>
      <c r="E48">
        <v>2607723</v>
      </c>
      <c r="F48" t="s">
        <v>56</v>
      </c>
      <c r="G48" t="s">
        <v>1</v>
      </c>
      <c r="H48" t="s">
        <v>78</v>
      </c>
      <c r="I48" t="s">
        <v>63</v>
      </c>
      <c r="J48" t="s">
        <v>4</v>
      </c>
      <c r="K48">
        <v>60707</v>
      </c>
      <c r="L48" t="s">
        <v>5</v>
      </c>
      <c r="M48" t="s">
        <v>6</v>
      </c>
      <c r="N48" s="2">
        <v>0.64722222222222225</v>
      </c>
      <c r="O48" s="2">
        <v>0.64722222222222225</v>
      </c>
      <c r="P48" s="2">
        <v>0.65694444444444444</v>
      </c>
      <c r="Q48" s="2">
        <v>0.69097222222222221</v>
      </c>
      <c r="R48" s="2">
        <v>0.70486111111111116</v>
      </c>
      <c r="S48" s="2">
        <v>0.72916666666666663</v>
      </c>
      <c r="T48" t="s">
        <v>7</v>
      </c>
      <c r="U48" t="s">
        <v>46</v>
      </c>
      <c r="V48" t="s">
        <v>94</v>
      </c>
      <c r="X48" t="s">
        <v>190</v>
      </c>
      <c r="Y48" t="s">
        <v>191</v>
      </c>
      <c r="Z48">
        <v>1</v>
      </c>
      <c r="AA48">
        <v>4</v>
      </c>
      <c r="AB48" t="s">
        <v>11</v>
      </c>
      <c r="AC48" t="s">
        <v>12</v>
      </c>
      <c r="AD48" t="s">
        <v>212</v>
      </c>
      <c r="AE48" t="s">
        <v>14</v>
      </c>
      <c r="AF48" s="1">
        <v>14872</v>
      </c>
      <c r="AG48">
        <f t="shared" ca="1" si="2"/>
        <v>85</v>
      </c>
    </row>
    <row r="49" spans="1:33" x14ac:dyDescent="0.2">
      <c r="A49" s="1">
        <v>46052</v>
      </c>
      <c r="B49" t="str">
        <f t="shared" si="0"/>
        <v>vendredi</v>
      </c>
      <c r="C49" t="str">
        <f t="shared" si="1"/>
        <v>Jour</v>
      </c>
      <c r="D49">
        <v>1494351</v>
      </c>
      <c r="E49">
        <v>2507464</v>
      </c>
      <c r="F49" t="s">
        <v>21</v>
      </c>
      <c r="G49" t="s">
        <v>1</v>
      </c>
      <c r="H49" t="s">
        <v>23</v>
      </c>
      <c r="I49" t="s">
        <v>22</v>
      </c>
      <c r="J49" t="s">
        <v>4</v>
      </c>
      <c r="K49">
        <v>60704</v>
      </c>
      <c r="L49" t="s">
        <v>5</v>
      </c>
      <c r="M49" t="s">
        <v>6</v>
      </c>
      <c r="N49" s="2">
        <v>0.65763888888888888</v>
      </c>
      <c r="O49" s="2">
        <v>0.65833333333333333</v>
      </c>
      <c r="P49" s="2">
        <v>0.66111111111111109</v>
      </c>
      <c r="Q49" s="2">
        <v>0.67708333333333337</v>
      </c>
      <c r="R49" s="2">
        <v>0.68333333333333335</v>
      </c>
      <c r="S49" s="2">
        <v>0.70833333333333337</v>
      </c>
      <c r="T49" t="s">
        <v>64</v>
      </c>
      <c r="U49" t="s">
        <v>251</v>
      </c>
      <c r="V49" t="s">
        <v>8</v>
      </c>
      <c r="X49" t="s">
        <v>74</v>
      </c>
      <c r="Y49" t="s">
        <v>96</v>
      </c>
      <c r="Z49">
        <v>3</v>
      </c>
      <c r="AA49">
        <v>2</v>
      </c>
      <c r="AB49" t="s">
        <v>11</v>
      </c>
      <c r="AC49" t="s">
        <v>28</v>
      </c>
      <c r="AD49" t="s">
        <v>20</v>
      </c>
      <c r="AE49" t="s">
        <v>29</v>
      </c>
      <c r="AF49" s="1">
        <v>36669</v>
      </c>
      <c r="AG49">
        <f t="shared" ca="1" si="2"/>
        <v>25</v>
      </c>
    </row>
    <row r="50" spans="1:33" x14ac:dyDescent="0.2">
      <c r="A50" s="1">
        <v>46052</v>
      </c>
      <c r="B50" t="str">
        <f t="shared" si="0"/>
        <v>vendredi</v>
      </c>
      <c r="C50" t="str">
        <f t="shared" si="1"/>
        <v>Jour</v>
      </c>
      <c r="D50">
        <v>1494499</v>
      </c>
      <c r="E50">
        <v>2507399</v>
      </c>
      <c r="F50" t="s">
        <v>21</v>
      </c>
      <c r="G50" t="s">
        <v>16</v>
      </c>
      <c r="H50" t="s">
        <v>23</v>
      </c>
      <c r="I50" t="s">
        <v>22</v>
      </c>
      <c r="J50" t="s">
        <v>4</v>
      </c>
      <c r="K50">
        <v>60704</v>
      </c>
      <c r="L50" t="s">
        <v>5</v>
      </c>
      <c r="M50" t="s">
        <v>6</v>
      </c>
      <c r="N50" s="2">
        <v>0.48958333333333331</v>
      </c>
      <c r="O50" s="2">
        <v>0.49236111111111114</v>
      </c>
      <c r="P50" s="2">
        <v>0.50416666666666665</v>
      </c>
      <c r="Q50" s="2">
        <v>0.52152777777777781</v>
      </c>
      <c r="R50" s="2">
        <v>0.53541666666666665</v>
      </c>
      <c r="S50" s="2">
        <v>0.55277777777777781</v>
      </c>
      <c r="T50" t="s">
        <v>7</v>
      </c>
      <c r="U50" t="s">
        <v>97</v>
      </c>
      <c r="V50" t="s">
        <v>8</v>
      </c>
      <c r="X50" t="s">
        <v>19</v>
      </c>
      <c r="Y50" t="s">
        <v>211</v>
      </c>
      <c r="Z50">
        <v>1</v>
      </c>
      <c r="AA50">
        <v>4</v>
      </c>
      <c r="AB50" t="s">
        <v>11</v>
      </c>
      <c r="AC50" t="s">
        <v>12</v>
      </c>
      <c r="AD50" t="s">
        <v>20</v>
      </c>
      <c r="AE50" t="s">
        <v>14</v>
      </c>
      <c r="AF50" s="1">
        <v>22599</v>
      </c>
      <c r="AG50">
        <f t="shared" ca="1" si="2"/>
        <v>64</v>
      </c>
    </row>
    <row r="51" spans="1:33" x14ac:dyDescent="0.2">
      <c r="A51" s="1">
        <v>46052</v>
      </c>
      <c r="B51" t="str">
        <f t="shared" si="0"/>
        <v>vendredi</v>
      </c>
      <c r="C51" t="str">
        <f t="shared" si="1"/>
        <v>Jour</v>
      </c>
      <c r="D51">
        <v>1494360</v>
      </c>
      <c r="E51">
        <v>7718</v>
      </c>
      <c r="F51" t="s">
        <v>21</v>
      </c>
      <c r="G51" t="s">
        <v>1</v>
      </c>
      <c r="H51" t="s">
        <v>49</v>
      </c>
      <c r="I51" t="s">
        <v>49</v>
      </c>
      <c r="J51" t="s">
        <v>254</v>
      </c>
      <c r="K51">
        <v>60704</v>
      </c>
      <c r="L51" t="s">
        <v>5</v>
      </c>
      <c r="M51" t="s">
        <v>6</v>
      </c>
      <c r="N51" s="2">
        <v>0.62708333333333333</v>
      </c>
      <c r="O51" s="2">
        <v>0.62777777777777777</v>
      </c>
      <c r="P51" s="2">
        <v>0.63541666666666663</v>
      </c>
      <c r="Q51" s="2">
        <v>0.67847222222222225</v>
      </c>
      <c r="R51" s="2">
        <v>0.69791666666666663</v>
      </c>
      <c r="S51" s="2">
        <v>0.71875</v>
      </c>
      <c r="T51" t="s">
        <v>7</v>
      </c>
      <c r="U51" t="s">
        <v>18</v>
      </c>
      <c r="V51" t="s">
        <v>86</v>
      </c>
      <c r="X51" t="s">
        <v>192</v>
      </c>
      <c r="Y51" t="s">
        <v>198</v>
      </c>
      <c r="Z51">
        <v>3</v>
      </c>
      <c r="AA51">
        <v>2</v>
      </c>
      <c r="AB51" t="s">
        <v>11</v>
      </c>
      <c r="AC51" t="s">
        <v>28</v>
      </c>
      <c r="AD51" t="s">
        <v>20</v>
      </c>
      <c r="AE51" t="s">
        <v>14</v>
      </c>
      <c r="AF51" s="1">
        <v>18491</v>
      </c>
      <c r="AG51">
        <f t="shared" ca="1" si="2"/>
        <v>75</v>
      </c>
    </row>
    <row r="52" spans="1:33" x14ac:dyDescent="0.2">
      <c r="A52" s="1">
        <v>46052</v>
      </c>
      <c r="B52" t="str">
        <f t="shared" si="0"/>
        <v>vendredi</v>
      </c>
      <c r="C52" t="str">
        <f t="shared" si="1"/>
        <v>Jour</v>
      </c>
      <c r="D52">
        <v>1510891</v>
      </c>
      <c r="E52">
        <v>2607688</v>
      </c>
      <c r="F52" t="s">
        <v>15</v>
      </c>
      <c r="G52" t="s">
        <v>1</v>
      </c>
      <c r="H52" t="s">
        <v>57</v>
      </c>
      <c r="I52" t="s">
        <v>81</v>
      </c>
      <c r="J52" t="s">
        <v>4</v>
      </c>
      <c r="K52">
        <v>60706</v>
      </c>
      <c r="L52" t="s">
        <v>5</v>
      </c>
      <c r="M52" t="s">
        <v>6</v>
      </c>
      <c r="N52" s="2">
        <v>0.54097222222222219</v>
      </c>
      <c r="O52" s="2">
        <v>0.54166666666666663</v>
      </c>
      <c r="P52" s="2">
        <v>0.5444444444444444</v>
      </c>
      <c r="Q52" s="2">
        <v>0.55763888888888891</v>
      </c>
      <c r="R52" s="2">
        <v>0.5625</v>
      </c>
      <c r="S52" s="2">
        <v>0.59027777777777779</v>
      </c>
      <c r="T52" t="s">
        <v>7</v>
      </c>
      <c r="U52" t="s">
        <v>265</v>
      </c>
      <c r="V52" t="s">
        <v>8</v>
      </c>
      <c r="X52" t="s">
        <v>214</v>
      </c>
      <c r="Y52" t="s">
        <v>215</v>
      </c>
      <c r="Z52">
        <v>1</v>
      </c>
      <c r="AA52">
        <v>4</v>
      </c>
      <c r="AB52" t="s">
        <v>11</v>
      </c>
      <c r="AC52" t="s">
        <v>12</v>
      </c>
      <c r="AD52" t="s">
        <v>36</v>
      </c>
      <c r="AE52" t="s">
        <v>29</v>
      </c>
      <c r="AF52" s="1">
        <v>17318</v>
      </c>
      <c r="AG52">
        <f t="shared" ca="1" si="2"/>
        <v>78</v>
      </c>
    </row>
    <row r="53" spans="1:33" x14ac:dyDescent="0.2">
      <c r="A53" s="1">
        <v>46052</v>
      </c>
      <c r="B53" t="str">
        <f t="shared" si="0"/>
        <v>vendredi</v>
      </c>
      <c r="C53" t="str">
        <f t="shared" si="1"/>
        <v>Jour</v>
      </c>
      <c r="D53">
        <v>1494359</v>
      </c>
      <c r="E53">
        <v>2607692</v>
      </c>
      <c r="F53" t="s">
        <v>21</v>
      </c>
      <c r="G53" t="s">
        <v>16</v>
      </c>
      <c r="H53" t="s">
        <v>49</v>
      </c>
      <c r="I53" t="s">
        <v>42</v>
      </c>
      <c r="J53" t="s">
        <v>255</v>
      </c>
      <c r="K53">
        <v>60704</v>
      </c>
      <c r="L53" t="s">
        <v>5</v>
      </c>
      <c r="M53" t="s">
        <v>6</v>
      </c>
      <c r="N53" s="2">
        <v>0.5541666666666667</v>
      </c>
      <c r="O53" s="2">
        <v>0.5541666666666667</v>
      </c>
      <c r="P53" s="2">
        <v>0.56041666666666667</v>
      </c>
      <c r="Q53" s="2">
        <v>0.5756944444444444</v>
      </c>
      <c r="R53" s="2">
        <v>0.58263888888888893</v>
      </c>
      <c r="S53" s="2">
        <v>0.59375</v>
      </c>
      <c r="T53" t="s">
        <v>43</v>
      </c>
      <c r="U53" t="s">
        <v>251</v>
      </c>
      <c r="V53" t="s">
        <v>24</v>
      </c>
      <c r="X53" t="s">
        <v>74</v>
      </c>
      <c r="Y53" t="s">
        <v>75</v>
      </c>
      <c r="Z53">
        <v>3</v>
      </c>
      <c r="AA53">
        <v>2</v>
      </c>
      <c r="AB53" t="s">
        <v>93</v>
      </c>
      <c r="AC53" t="s">
        <v>28</v>
      </c>
      <c r="AD53" t="s">
        <v>44</v>
      </c>
      <c r="AE53" t="s">
        <v>29</v>
      </c>
      <c r="AF53" s="1">
        <v>32272</v>
      </c>
      <c r="AG53">
        <f t="shared" ca="1" si="2"/>
        <v>37</v>
      </c>
    </row>
    <row r="54" spans="1:33" x14ac:dyDescent="0.2">
      <c r="A54" s="1">
        <v>46051</v>
      </c>
      <c r="B54" t="str">
        <f t="shared" si="0"/>
        <v>jeudi</v>
      </c>
      <c r="C54" t="str">
        <f t="shared" si="1"/>
        <v>Nuit</v>
      </c>
      <c r="D54">
        <v>1494354</v>
      </c>
      <c r="E54">
        <v>2607528</v>
      </c>
      <c r="F54" t="s">
        <v>45</v>
      </c>
      <c r="G54" t="s">
        <v>1</v>
      </c>
      <c r="H54" t="s">
        <v>98</v>
      </c>
      <c r="I54" t="s">
        <v>99</v>
      </c>
      <c r="J54" t="s">
        <v>4</v>
      </c>
      <c r="K54">
        <v>60704</v>
      </c>
      <c r="L54" t="s">
        <v>5</v>
      </c>
      <c r="M54" t="s">
        <v>6</v>
      </c>
      <c r="N54" s="2">
        <v>0.84166666666666667</v>
      </c>
      <c r="O54" s="2">
        <v>0.84236111111111112</v>
      </c>
      <c r="P54" s="2">
        <v>0.84583333333333333</v>
      </c>
      <c r="Q54" s="2">
        <v>0.85902777777777772</v>
      </c>
      <c r="R54" s="2">
        <v>0.86597222222222225</v>
      </c>
      <c r="S54" s="2">
        <v>0.88541666666666663</v>
      </c>
      <c r="T54" t="s">
        <v>7</v>
      </c>
      <c r="U54" t="s">
        <v>251</v>
      </c>
      <c r="V54" t="s">
        <v>8</v>
      </c>
      <c r="X54" t="s">
        <v>214</v>
      </c>
      <c r="Y54" t="s">
        <v>215</v>
      </c>
      <c r="Z54">
        <v>1</v>
      </c>
      <c r="AA54">
        <v>4</v>
      </c>
      <c r="AB54" t="s">
        <v>11</v>
      </c>
      <c r="AC54" t="s">
        <v>12</v>
      </c>
      <c r="AD54" t="s">
        <v>20</v>
      </c>
      <c r="AE54" t="s">
        <v>14</v>
      </c>
      <c r="AF54" s="1">
        <v>32444</v>
      </c>
      <c r="AG54">
        <f t="shared" ca="1" si="2"/>
        <v>37</v>
      </c>
    </row>
    <row r="55" spans="1:33" x14ac:dyDescent="0.2">
      <c r="A55" s="1">
        <v>46051</v>
      </c>
      <c r="B55" t="str">
        <f t="shared" si="0"/>
        <v>jeudi</v>
      </c>
      <c r="C55" t="str">
        <f t="shared" si="1"/>
        <v>Nuit</v>
      </c>
      <c r="D55">
        <v>1494356</v>
      </c>
      <c r="E55">
        <v>2607575</v>
      </c>
      <c r="F55" t="s">
        <v>45</v>
      </c>
      <c r="G55" t="s">
        <v>16</v>
      </c>
      <c r="H55" t="s">
        <v>98</v>
      </c>
      <c r="I55" t="s">
        <v>99</v>
      </c>
      <c r="J55" t="s">
        <v>4</v>
      </c>
      <c r="K55">
        <v>60704</v>
      </c>
      <c r="L55" t="s">
        <v>5</v>
      </c>
      <c r="M55" t="s">
        <v>6</v>
      </c>
      <c r="N55" s="2">
        <v>0.97291666666666665</v>
      </c>
      <c r="O55" s="2">
        <v>0.97499999999999998</v>
      </c>
      <c r="P55" s="2">
        <v>0.97916666666666663</v>
      </c>
      <c r="Q55" s="2">
        <v>0.99930555555555556</v>
      </c>
      <c r="R55" s="2">
        <v>1.3888888888888889E-3</v>
      </c>
      <c r="S55" s="2">
        <v>2.0833333333333332E-2</v>
      </c>
      <c r="T55" t="s">
        <v>7</v>
      </c>
      <c r="U55" t="s">
        <v>251</v>
      </c>
      <c r="V55" t="s">
        <v>8</v>
      </c>
      <c r="X55" t="s">
        <v>190</v>
      </c>
      <c r="Y55" t="s">
        <v>207</v>
      </c>
      <c r="Z55">
        <v>3</v>
      </c>
      <c r="AA55">
        <v>3</v>
      </c>
      <c r="AB55" t="s">
        <v>11</v>
      </c>
      <c r="AC55" t="s">
        <v>12</v>
      </c>
      <c r="AD55" t="s">
        <v>20</v>
      </c>
      <c r="AE55" t="s">
        <v>29</v>
      </c>
      <c r="AF55" s="1">
        <v>10663</v>
      </c>
      <c r="AG55">
        <f t="shared" ca="1" si="2"/>
        <v>96</v>
      </c>
    </row>
    <row r="56" spans="1:33" x14ac:dyDescent="0.2">
      <c r="A56" s="1">
        <v>46052</v>
      </c>
      <c r="B56" t="str">
        <f t="shared" si="0"/>
        <v>vendredi</v>
      </c>
      <c r="C56" t="str">
        <f t="shared" si="1"/>
        <v>Jour</v>
      </c>
      <c r="D56">
        <v>1510824</v>
      </c>
      <c r="E56">
        <v>2607630</v>
      </c>
      <c r="F56" t="s">
        <v>56</v>
      </c>
      <c r="G56" t="s">
        <v>16</v>
      </c>
      <c r="H56" t="s">
        <v>78</v>
      </c>
      <c r="I56" t="s">
        <v>63</v>
      </c>
      <c r="J56" t="s">
        <v>4</v>
      </c>
      <c r="K56">
        <v>60707</v>
      </c>
      <c r="L56" t="s">
        <v>5</v>
      </c>
      <c r="M56" t="s">
        <v>6</v>
      </c>
      <c r="N56" s="2">
        <v>0.35972222222222222</v>
      </c>
      <c r="O56" s="2">
        <v>0.35972222222222222</v>
      </c>
      <c r="P56" s="2">
        <v>0.36388888888888887</v>
      </c>
      <c r="S56" s="2">
        <v>0.38541666666666669</v>
      </c>
      <c r="T56" t="s">
        <v>7</v>
      </c>
      <c r="U56" t="s">
        <v>263</v>
      </c>
      <c r="V56" t="s">
        <v>47</v>
      </c>
      <c r="W56" t="s">
        <v>199</v>
      </c>
      <c r="X56" t="s">
        <v>33</v>
      </c>
      <c r="Y56" t="s">
        <v>208</v>
      </c>
      <c r="Z56">
        <v>4</v>
      </c>
      <c r="AA56">
        <v>1</v>
      </c>
      <c r="AB56" t="s">
        <v>11</v>
      </c>
      <c r="AC56" t="s">
        <v>28</v>
      </c>
      <c r="AD56" t="s">
        <v>20</v>
      </c>
      <c r="AE56" t="s">
        <v>29</v>
      </c>
      <c r="AF56" s="1">
        <v>10234</v>
      </c>
      <c r="AG56">
        <f t="shared" ca="1" si="2"/>
        <v>98</v>
      </c>
    </row>
    <row r="57" spans="1:33" x14ac:dyDescent="0.2">
      <c r="A57" s="1">
        <v>46052</v>
      </c>
      <c r="B57" t="str">
        <f t="shared" si="0"/>
        <v>vendredi</v>
      </c>
      <c r="C57" t="str">
        <f t="shared" si="1"/>
        <v>Nuit</v>
      </c>
      <c r="D57">
        <v>1510823</v>
      </c>
      <c r="E57">
        <v>2607606</v>
      </c>
      <c r="F57" t="s">
        <v>56</v>
      </c>
      <c r="G57" t="s">
        <v>16</v>
      </c>
      <c r="H57" t="s">
        <v>63</v>
      </c>
      <c r="I57" t="s">
        <v>78</v>
      </c>
      <c r="J57" t="s">
        <v>4</v>
      </c>
      <c r="K57">
        <v>60707</v>
      </c>
      <c r="L57" t="s">
        <v>61</v>
      </c>
      <c r="M57" t="s">
        <v>253</v>
      </c>
      <c r="N57" s="2">
        <v>0.28958333333333336</v>
      </c>
      <c r="O57" s="2">
        <v>0.29097222222222224</v>
      </c>
      <c r="P57" s="2">
        <v>0.29930555555555555</v>
      </c>
      <c r="S57" s="2">
        <v>0.35625000000000001</v>
      </c>
      <c r="T57" t="s">
        <v>38</v>
      </c>
      <c r="U57" t="s">
        <v>265</v>
      </c>
      <c r="V57" t="s">
        <v>47</v>
      </c>
      <c r="W57" t="s">
        <v>216</v>
      </c>
      <c r="X57" t="s">
        <v>100</v>
      </c>
      <c r="Y57" t="s">
        <v>217</v>
      </c>
      <c r="Z57">
        <v>2</v>
      </c>
      <c r="AA57">
        <v>2</v>
      </c>
      <c r="AB57" t="s">
        <v>11</v>
      </c>
      <c r="AC57" t="s">
        <v>12</v>
      </c>
      <c r="AD57" t="s">
        <v>20</v>
      </c>
      <c r="AE57" t="s">
        <v>14</v>
      </c>
      <c r="AF57" s="1">
        <v>25936</v>
      </c>
      <c r="AG57">
        <f t="shared" ca="1" si="2"/>
        <v>55</v>
      </c>
    </row>
    <row r="58" spans="1:33" x14ac:dyDescent="0.2">
      <c r="A58" s="1">
        <v>46052</v>
      </c>
      <c r="B58" t="str">
        <f t="shared" si="0"/>
        <v>vendredi</v>
      </c>
      <c r="C58" t="str">
        <f t="shared" si="1"/>
        <v>Jour</v>
      </c>
      <c r="D58">
        <v>1510890</v>
      </c>
      <c r="E58">
        <v>2607616</v>
      </c>
      <c r="F58" t="s">
        <v>15</v>
      </c>
      <c r="G58" t="s">
        <v>16</v>
      </c>
      <c r="H58" t="s">
        <v>81</v>
      </c>
      <c r="I58" t="s">
        <v>57</v>
      </c>
      <c r="J58" t="s">
        <v>4</v>
      </c>
      <c r="K58">
        <v>60706</v>
      </c>
      <c r="L58" t="s">
        <v>5</v>
      </c>
      <c r="M58" t="s">
        <v>6</v>
      </c>
      <c r="N58" s="2">
        <v>0.31805555555555554</v>
      </c>
      <c r="O58" s="2">
        <v>0.31944444444444442</v>
      </c>
      <c r="P58" s="2">
        <v>0.32361111111111113</v>
      </c>
      <c r="Q58" s="2">
        <v>0.33263888888888887</v>
      </c>
      <c r="R58" s="2">
        <v>0.34722222222222221</v>
      </c>
      <c r="S58" s="2">
        <v>0.36458333333333331</v>
      </c>
      <c r="T58" t="s">
        <v>7</v>
      </c>
      <c r="U58" t="s">
        <v>265</v>
      </c>
      <c r="V58" t="s">
        <v>8</v>
      </c>
      <c r="X58" t="s">
        <v>19</v>
      </c>
      <c r="Y58" t="s">
        <v>211</v>
      </c>
      <c r="Z58">
        <v>2</v>
      </c>
      <c r="AA58">
        <v>3</v>
      </c>
      <c r="AB58" t="s">
        <v>11</v>
      </c>
      <c r="AC58" t="s">
        <v>12</v>
      </c>
      <c r="AD58" t="s">
        <v>20</v>
      </c>
      <c r="AE58" t="s">
        <v>14</v>
      </c>
      <c r="AF58" s="1">
        <v>29087</v>
      </c>
      <c r="AG58">
        <f t="shared" ca="1" si="2"/>
        <v>46</v>
      </c>
    </row>
    <row r="59" spans="1:33" x14ac:dyDescent="0.2">
      <c r="A59" s="1">
        <v>46051</v>
      </c>
      <c r="B59" t="str">
        <f t="shared" si="0"/>
        <v>jeudi</v>
      </c>
      <c r="C59" t="str">
        <f t="shared" si="1"/>
        <v>Jour</v>
      </c>
      <c r="D59">
        <v>1494002</v>
      </c>
      <c r="E59">
        <v>2607368</v>
      </c>
      <c r="F59" t="s">
        <v>56</v>
      </c>
      <c r="G59" t="s">
        <v>16</v>
      </c>
      <c r="H59" t="s">
        <v>57</v>
      </c>
      <c r="I59" t="s">
        <v>69</v>
      </c>
      <c r="J59" t="s">
        <v>4</v>
      </c>
      <c r="K59">
        <v>60708</v>
      </c>
      <c r="L59" t="s">
        <v>5</v>
      </c>
      <c r="M59" t="s">
        <v>6</v>
      </c>
      <c r="N59" s="2">
        <v>0.44305555555555554</v>
      </c>
      <c r="O59" s="2">
        <v>0.44444444444444442</v>
      </c>
      <c r="P59" s="2">
        <v>0.44791666666666669</v>
      </c>
      <c r="Q59" s="2">
        <v>0.46458333333333335</v>
      </c>
      <c r="R59" s="2">
        <v>0.47083333333333333</v>
      </c>
      <c r="S59" s="2">
        <v>0.48958333333333331</v>
      </c>
      <c r="T59" t="s">
        <v>7</v>
      </c>
      <c r="U59" t="s">
        <v>32</v>
      </c>
      <c r="V59" t="s">
        <v>8</v>
      </c>
      <c r="X59" t="s">
        <v>101</v>
      </c>
      <c r="Y59" t="s">
        <v>207</v>
      </c>
      <c r="Z59">
        <v>3</v>
      </c>
      <c r="AA59">
        <v>3</v>
      </c>
      <c r="AB59" t="s">
        <v>11</v>
      </c>
      <c r="AC59" t="s">
        <v>12</v>
      </c>
      <c r="AD59" t="s">
        <v>20</v>
      </c>
      <c r="AE59" t="s">
        <v>14</v>
      </c>
      <c r="AF59" s="1">
        <v>14332</v>
      </c>
      <c r="AG59">
        <f t="shared" ca="1" si="2"/>
        <v>86</v>
      </c>
    </row>
    <row r="60" spans="1:33" x14ac:dyDescent="0.2">
      <c r="A60" s="1">
        <v>46051</v>
      </c>
      <c r="B60" t="str">
        <f t="shared" si="0"/>
        <v>jeudi</v>
      </c>
      <c r="C60" t="str">
        <f t="shared" si="1"/>
        <v>Jour</v>
      </c>
      <c r="D60">
        <v>1494004</v>
      </c>
      <c r="E60">
        <v>2607488</v>
      </c>
      <c r="F60" t="s">
        <v>56</v>
      </c>
      <c r="G60" t="s">
        <v>1</v>
      </c>
      <c r="H60" t="s">
        <v>57</v>
      </c>
      <c r="I60" t="s">
        <v>69</v>
      </c>
      <c r="J60" t="s">
        <v>4</v>
      </c>
      <c r="K60">
        <v>60708</v>
      </c>
      <c r="L60" t="s">
        <v>61</v>
      </c>
      <c r="M60" t="s">
        <v>195</v>
      </c>
      <c r="N60" s="2">
        <v>0.73819444444444449</v>
      </c>
      <c r="O60" s="2">
        <v>0.73958333333333337</v>
      </c>
      <c r="P60" s="2">
        <v>0.74097222222222225</v>
      </c>
      <c r="Q60" s="2">
        <v>0.76249999999999996</v>
      </c>
      <c r="R60" s="2">
        <v>0.77222222222222225</v>
      </c>
      <c r="S60" s="2">
        <v>0.78125</v>
      </c>
      <c r="T60" t="s">
        <v>218</v>
      </c>
      <c r="U60" t="s">
        <v>102</v>
      </c>
      <c r="V60" t="s">
        <v>8</v>
      </c>
      <c r="X60" t="s">
        <v>190</v>
      </c>
      <c r="Y60" t="s">
        <v>191</v>
      </c>
      <c r="Z60" t="s">
        <v>188</v>
      </c>
      <c r="AA60">
        <v>4</v>
      </c>
      <c r="AB60" t="s">
        <v>11</v>
      </c>
      <c r="AC60" t="s">
        <v>12</v>
      </c>
      <c r="AD60" t="s">
        <v>219</v>
      </c>
      <c r="AE60" t="s">
        <v>14</v>
      </c>
      <c r="AF60" s="1">
        <v>45859</v>
      </c>
      <c r="AG60">
        <f t="shared" ca="1" si="2"/>
        <v>0</v>
      </c>
    </row>
    <row r="61" spans="1:33" x14ac:dyDescent="0.2">
      <c r="A61" s="1">
        <v>46052</v>
      </c>
      <c r="B61" t="str">
        <f t="shared" si="0"/>
        <v>vendredi</v>
      </c>
      <c r="C61" t="str">
        <f t="shared" si="1"/>
        <v>Nuit</v>
      </c>
      <c r="D61">
        <v>1494357</v>
      </c>
      <c r="E61">
        <v>2607594</v>
      </c>
      <c r="F61" t="s">
        <v>45</v>
      </c>
      <c r="G61" t="s">
        <v>16</v>
      </c>
      <c r="H61" t="s">
        <v>99</v>
      </c>
      <c r="I61" t="s">
        <v>98</v>
      </c>
      <c r="J61" t="s">
        <v>4</v>
      </c>
      <c r="K61">
        <v>60704</v>
      </c>
      <c r="L61" t="s">
        <v>5</v>
      </c>
      <c r="M61" t="s">
        <v>6</v>
      </c>
      <c r="N61" s="2">
        <v>0.1451388888888889</v>
      </c>
      <c r="O61" s="2">
        <v>0.14652777777777778</v>
      </c>
      <c r="P61" s="2">
        <v>0.15208333333333332</v>
      </c>
      <c r="S61" s="2">
        <v>0.17916666666666667</v>
      </c>
      <c r="T61" t="s">
        <v>64</v>
      </c>
      <c r="U61" t="s">
        <v>251</v>
      </c>
      <c r="V61" t="s">
        <v>47</v>
      </c>
      <c r="W61" t="s">
        <v>83</v>
      </c>
      <c r="X61" t="s">
        <v>88</v>
      </c>
      <c r="Y61" t="s">
        <v>89</v>
      </c>
      <c r="Z61">
        <v>3</v>
      </c>
      <c r="AA61">
        <v>2</v>
      </c>
      <c r="AB61" t="s">
        <v>11</v>
      </c>
      <c r="AC61" t="s">
        <v>28</v>
      </c>
      <c r="AD61" t="s">
        <v>20</v>
      </c>
      <c r="AE61" t="s">
        <v>29</v>
      </c>
      <c r="AG61">
        <f t="shared" ca="1" si="2"/>
        <v>126</v>
      </c>
    </row>
    <row r="62" spans="1:33" x14ac:dyDescent="0.2">
      <c r="A62" s="1">
        <v>46051</v>
      </c>
      <c r="B62" t="str">
        <f t="shared" si="0"/>
        <v>jeudi</v>
      </c>
      <c r="C62" t="str">
        <f t="shared" si="1"/>
        <v>Nuit</v>
      </c>
      <c r="D62">
        <v>1494355</v>
      </c>
      <c r="E62">
        <v>2607556</v>
      </c>
      <c r="F62" t="s">
        <v>45</v>
      </c>
      <c r="G62" t="s">
        <v>1</v>
      </c>
      <c r="H62" t="s">
        <v>99</v>
      </c>
      <c r="I62" t="s">
        <v>98</v>
      </c>
      <c r="J62" t="s">
        <v>4</v>
      </c>
      <c r="K62">
        <v>60704</v>
      </c>
      <c r="L62" t="s">
        <v>5</v>
      </c>
      <c r="M62" t="s">
        <v>6</v>
      </c>
      <c r="N62" s="2">
        <v>0.90069444444444446</v>
      </c>
      <c r="O62" s="2">
        <v>0.90277777777777779</v>
      </c>
      <c r="P62" s="2">
        <v>0.90486111111111112</v>
      </c>
      <c r="Q62" s="2">
        <v>0.92291666666666672</v>
      </c>
      <c r="R62" s="2">
        <v>0.92986111111111114</v>
      </c>
      <c r="S62" s="2">
        <v>0.94305555555555554</v>
      </c>
      <c r="T62" t="s">
        <v>7</v>
      </c>
      <c r="U62" t="s">
        <v>251</v>
      </c>
      <c r="V62" t="s">
        <v>24</v>
      </c>
      <c r="X62" t="s">
        <v>190</v>
      </c>
      <c r="Y62" t="s">
        <v>191</v>
      </c>
      <c r="Z62">
        <v>2</v>
      </c>
      <c r="AA62">
        <v>3</v>
      </c>
      <c r="AB62" t="s">
        <v>11</v>
      </c>
      <c r="AC62" t="s">
        <v>12</v>
      </c>
      <c r="AD62" t="s">
        <v>20</v>
      </c>
      <c r="AE62" t="s">
        <v>14</v>
      </c>
      <c r="AF62" s="1">
        <v>15190</v>
      </c>
      <c r="AG62">
        <f t="shared" ca="1" si="2"/>
        <v>84</v>
      </c>
    </row>
    <row r="63" spans="1:33" x14ac:dyDescent="0.2">
      <c r="A63" s="1">
        <v>46051</v>
      </c>
      <c r="B63" t="str">
        <f t="shared" si="0"/>
        <v>jeudi</v>
      </c>
      <c r="C63" t="str">
        <f t="shared" si="1"/>
        <v>Jour</v>
      </c>
      <c r="D63">
        <v>1510888</v>
      </c>
      <c r="E63">
        <v>2607516</v>
      </c>
      <c r="F63" t="s">
        <v>0</v>
      </c>
      <c r="G63" t="s">
        <v>90</v>
      </c>
      <c r="H63" t="s">
        <v>213</v>
      </c>
      <c r="I63" t="s">
        <v>202</v>
      </c>
      <c r="J63" t="s">
        <v>4</v>
      </c>
      <c r="K63">
        <v>60706</v>
      </c>
      <c r="L63" t="s">
        <v>5</v>
      </c>
      <c r="M63" t="s">
        <v>6</v>
      </c>
      <c r="N63" s="2">
        <v>0.80347222222222225</v>
      </c>
      <c r="O63" s="2">
        <v>0.8041666666666667</v>
      </c>
      <c r="P63" s="2">
        <v>0.80972222222222223</v>
      </c>
      <c r="Q63" s="2">
        <v>0.82013888888888886</v>
      </c>
      <c r="R63" s="2">
        <v>0.83263888888888893</v>
      </c>
      <c r="S63" s="2">
        <v>0.85138888888888886</v>
      </c>
      <c r="T63" t="s">
        <v>8</v>
      </c>
      <c r="U63" t="s">
        <v>32</v>
      </c>
      <c r="V63" t="s">
        <v>8</v>
      </c>
      <c r="X63" t="s">
        <v>33</v>
      </c>
      <c r="Y63" t="s">
        <v>34</v>
      </c>
      <c r="Z63">
        <v>3</v>
      </c>
      <c r="AA63">
        <v>3</v>
      </c>
      <c r="AB63" t="s">
        <v>11</v>
      </c>
      <c r="AC63" t="s">
        <v>12</v>
      </c>
      <c r="AD63" t="s">
        <v>20</v>
      </c>
      <c r="AE63" t="s">
        <v>14</v>
      </c>
      <c r="AF63" s="1">
        <v>17405</v>
      </c>
      <c r="AG63">
        <f t="shared" ca="1" si="2"/>
        <v>78</v>
      </c>
    </row>
    <row r="64" spans="1:33" x14ac:dyDescent="0.2">
      <c r="A64" s="1">
        <v>46051</v>
      </c>
      <c r="B64" t="str">
        <f t="shared" si="0"/>
        <v>jeudi</v>
      </c>
      <c r="C64" t="str">
        <f t="shared" si="1"/>
        <v>Nuit</v>
      </c>
      <c r="D64">
        <v>1510977</v>
      </c>
      <c r="E64">
        <v>2607289</v>
      </c>
      <c r="F64" t="s">
        <v>45</v>
      </c>
      <c r="G64" t="s">
        <v>16</v>
      </c>
      <c r="H64" t="s">
        <v>99</v>
      </c>
      <c r="I64" t="s">
        <v>98</v>
      </c>
      <c r="J64" t="s">
        <v>4</v>
      </c>
      <c r="K64">
        <v>60705</v>
      </c>
      <c r="L64" t="s">
        <v>5</v>
      </c>
      <c r="M64" t="s">
        <v>6</v>
      </c>
      <c r="N64" s="2">
        <v>3.3333333333333333E-2</v>
      </c>
      <c r="O64" s="2">
        <v>3.5416666666666666E-2</v>
      </c>
      <c r="P64" s="2">
        <v>4.4444444444444446E-2</v>
      </c>
      <c r="S64" s="2">
        <v>6.5972222222222224E-2</v>
      </c>
      <c r="T64" t="s">
        <v>64</v>
      </c>
      <c r="U64" t="s">
        <v>251</v>
      </c>
      <c r="V64" t="s">
        <v>47</v>
      </c>
      <c r="W64" t="s">
        <v>199</v>
      </c>
      <c r="X64" t="s">
        <v>252</v>
      </c>
      <c r="Y64" t="s">
        <v>48</v>
      </c>
      <c r="Z64">
        <v>3</v>
      </c>
      <c r="AA64">
        <v>1</v>
      </c>
      <c r="AB64" t="s">
        <v>93</v>
      </c>
      <c r="AC64" t="s">
        <v>12</v>
      </c>
      <c r="AD64" t="s">
        <v>20</v>
      </c>
      <c r="AE64" t="s">
        <v>29</v>
      </c>
      <c r="AF64" s="1">
        <v>28457</v>
      </c>
      <c r="AG64">
        <f t="shared" ca="1" si="2"/>
        <v>48</v>
      </c>
    </row>
    <row r="65" spans="1:33" x14ac:dyDescent="0.2">
      <c r="A65" s="1">
        <v>46051</v>
      </c>
      <c r="B65" t="str">
        <f t="shared" si="0"/>
        <v>jeudi</v>
      </c>
      <c r="C65" t="str">
        <f t="shared" si="1"/>
        <v>Nuit</v>
      </c>
      <c r="D65">
        <v>1510976</v>
      </c>
      <c r="E65">
        <v>25607280</v>
      </c>
      <c r="F65" t="s">
        <v>45</v>
      </c>
      <c r="G65" t="s">
        <v>25</v>
      </c>
      <c r="H65" t="s">
        <v>98</v>
      </c>
      <c r="I65" t="s">
        <v>99</v>
      </c>
      <c r="J65" t="s">
        <v>4</v>
      </c>
      <c r="K65">
        <v>60705</v>
      </c>
      <c r="L65" t="s">
        <v>5</v>
      </c>
      <c r="M65" t="s">
        <v>6</v>
      </c>
      <c r="N65" s="2">
        <v>0.98611111111111116</v>
      </c>
      <c r="O65" s="2">
        <v>0.99027777777777781</v>
      </c>
      <c r="P65" s="2">
        <v>0.99305555555555558</v>
      </c>
      <c r="S65" s="2">
        <v>1.3888888888888888E-2</v>
      </c>
      <c r="T65" t="s">
        <v>7</v>
      </c>
      <c r="U65" t="s">
        <v>251</v>
      </c>
      <c r="V65" t="s">
        <v>47</v>
      </c>
      <c r="W65" t="s">
        <v>199</v>
      </c>
      <c r="X65" t="s">
        <v>9</v>
      </c>
      <c r="Y65" t="s">
        <v>10</v>
      </c>
      <c r="Z65">
        <v>3</v>
      </c>
      <c r="AA65">
        <v>2</v>
      </c>
      <c r="AB65" t="s">
        <v>11</v>
      </c>
      <c r="AC65" t="s">
        <v>12</v>
      </c>
      <c r="AD65" t="s">
        <v>20</v>
      </c>
      <c r="AE65" t="s">
        <v>14</v>
      </c>
      <c r="AF65" s="1">
        <v>27357</v>
      </c>
      <c r="AG65">
        <f t="shared" ca="1" si="2"/>
        <v>51</v>
      </c>
    </row>
    <row r="66" spans="1:33" x14ac:dyDescent="0.2">
      <c r="A66" s="1">
        <v>46051</v>
      </c>
      <c r="B66" t="str">
        <f t="shared" ref="B66:B129" si="3">TEXT(A66,"JJJJ")</f>
        <v>jeudi</v>
      </c>
      <c r="C66" t="str">
        <f t="shared" ref="C66:C129" si="4">IF(AND(HOUR(N66)&gt;=7,HOUR(N66)&lt;=19),"Jour","Nuit")</f>
        <v>Jour</v>
      </c>
      <c r="D66">
        <v>1510887</v>
      </c>
      <c r="E66">
        <v>2507480</v>
      </c>
      <c r="F66" t="s">
        <v>25</v>
      </c>
      <c r="G66" t="s">
        <v>25</v>
      </c>
      <c r="H66" t="s">
        <v>49</v>
      </c>
      <c r="I66" t="s">
        <v>189</v>
      </c>
      <c r="J66" t="s">
        <v>4</v>
      </c>
      <c r="K66">
        <v>60706</v>
      </c>
      <c r="L66" t="s">
        <v>5</v>
      </c>
      <c r="M66" t="s">
        <v>6</v>
      </c>
      <c r="N66" s="2">
        <v>0.70833333333333337</v>
      </c>
      <c r="O66" s="2">
        <v>0.71458333333333335</v>
      </c>
      <c r="P66" s="2">
        <v>0.71527777777777779</v>
      </c>
      <c r="Q66" s="2">
        <v>0.72638888888888886</v>
      </c>
      <c r="R66" s="2">
        <v>0.73611111111111116</v>
      </c>
      <c r="S66" s="2">
        <v>0.75</v>
      </c>
      <c r="T66" t="s">
        <v>24</v>
      </c>
      <c r="U66" t="s">
        <v>265</v>
      </c>
      <c r="V66" t="s">
        <v>8</v>
      </c>
      <c r="X66" t="s">
        <v>190</v>
      </c>
      <c r="Y66" t="s">
        <v>191</v>
      </c>
      <c r="Z66">
        <v>2</v>
      </c>
      <c r="AA66">
        <v>3</v>
      </c>
      <c r="AB66" t="s">
        <v>11</v>
      </c>
      <c r="AC66" t="s">
        <v>12</v>
      </c>
      <c r="AD66" t="s">
        <v>212</v>
      </c>
      <c r="AE66" t="s">
        <v>29</v>
      </c>
      <c r="AF66" s="1">
        <v>45031</v>
      </c>
      <c r="AG66">
        <f t="shared" ref="AG66:AG129" ca="1" si="5">INT((TODAY()-AF66)/365.25)</f>
        <v>2</v>
      </c>
    </row>
    <row r="67" spans="1:33" x14ac:dyDescent="0.2">
      <c r="A67" s="1">
        <v>46048</v>
      </c>
      <c r="B67" t="str">
        <f t="shared" si="3"/>
        <v>lundi</v>
      </c>
      <c r="C67" t="str">
        <f t="shared" si="4"/>
        <v>Nuit</v>
      </c>
      <c r="D67">
        <v>1510877</v>
      </c>
      <c r="E67">
        <v>2606627</v>
      </c>
      <c r="F67" t="s">
        <v>25</v>
      </c>
      <c r="G67" t="s">
        <v>25</v>
      </c>
      <c r="H67" t="s">
        <v>189</v>
      </c>
      <c r="I67" t="s">
        <v>78</v>
      </c>
      <c r="J67" t="s">
        <v>4</v>
      </c>
      <c r="K67">
        <v>60706</v>
      </c>
      <c r="L67" t="s">
        <v>5</v>
      </c>
      <c r="M67" t="s">
        <v>6</v>
      </c>
      <c r="N67" s="2">
        <v>0.96458333333333335</v>
      </c>
      <c r="O67" s="2">
        <v>0.97013888888888888</v>
      </c>
      <c r="P67" s="2">
        <v>0.97291666666666665</v>
      </c>
      <c r="Q67" s="2">
        <v>2.9166666666666667E-2</v>
      </c>
      <c r="S67" s="2">
        <v>3.4722222222222224E-2</v>
      </c>
      <c r="T67" t="s">
        <v>7</v>
      </c>
      <c r="U67" t="s">
        <v>265</v>
      </c>
      <c r="V67" t="s">
        <v>47</v>
      </c>
      <c r="W67" t="s">
        <v>199</v>
      </c>
      <c r="X67" t="s">
        <v>19</v>
      </c>
      <c r="Y67" t="s">
        <v>220</v>
      </c>
      <c r="Z67">
        <v>3</v>
      </c>
      <c r="AA67">
        <v>2</v>
      </c>
      <c r="AB67" t="s">
        <v>11</v>
      </c>
      <c r="AC67" t="s">
        <v>12</v>
      </c>
      <c r="AD67" t="s">
        <v>20</v>
      </c>
      <c r="AE67" t="s">
        <v>29</v>
      </c>
      <c r="AF67" s="1">
        <v>41146</v>
      </c>
      <c r="AG67">
        <f t="shared" ca="1" si="5"/>
        <v>13</v>
      </c>
    </row>
    <row r="68" spans="1:33" x14ac:dyDescent="0.2">
      <c r="A68" s="1">
        <v>46051</v>
      </c>
      <c r="B68" t="str">
        <f t="shared" si="3"/>
        <v>jeudi</v>
      </c>
      <c r="C68" t="str">
        <f t="shared" si="4"/>
        <v>Jour</v>
      </c>
      <c r="D68">
        <v>1494001</v>
      </c>
      <c r="E68">
        <v>2607333</v>
      </c>
      <c r="F68" t="s">
        <v>56</v>
      </c>
      <c r="G68" t="s">
        <v>16</v>
      </c>
      <c r="H68" t="s">
        <v>69</v>
      </c>
      <c r="I68" t="s">
        <v>57</v>
      </c>
      <c r="J68" t="s">
        <v>4</v>
      </c>
      <c r="K68">
        <v>60708</v>
      </c>
      <c r="L68" t="s">
        <v>5</v>
      </c>
      <c r="M68" t="s">
        <v>6</v>
      </c>
      <c r="N68" s="2">
        <v>0.36875000000000002</v>
      </c>
      <c r="O68" s="2">
        <v>0.37083333333333335</v>
      </c>
      <c r="P68" s="2">
        <v>0.38124999999999998</v>
      </c>
      <c r="Q68" s="2">
        <v>0.40138888888888891</v>
      </c>
      <c r="R68" s="2">
        <v>0.41249999999999998</v>
      </c>
      <c r="S68" s="2">
        <v>0.43125000000000002</v>
      </c>
      <c r="T68" t="s">
        <v>7</v>
      </c>
      <c r="U68" t="s">
        <v>251</v>
      </c>
      <c r="V68" t="s">
        <v>8</v>
      </c>
      <c r="X68" t="s">
        <v>206</v>
      </c>
      <c r="Y68" t="s">
        <v>207</v>
      </c>
      <c r="Z68">
        <v>3</v>
      </c>
      <c r="AA68">
        <v>3</v>
      </c>
      <c r="AB68" t="s">
        <v>11</v>
      </c>
      <c r="AC68" t="s">
        <v>12</v>
      </c>
      <c r="AD68" t="s">
        <v>20</v>
      </c>
      <c r="AE68" t="s">
        <v>29</v>
      </c>
      <c r="AF68" s="1">
        <v>15171</v>
      </c>
      <c r="AG68">
        <f t="shared" ca="1" si="5"/>
        <v>84</v>
      </c>
    </row>
    <row r="69" spans="1:33" x14ac:dyDescent="0.2">
      <c r="A69" s="1">
        <v>46051</v>
      </c>
      <c r="B69" t="str">
        <f t="shared" si="3"/>
        <v>jeudi</v>
      </c>
      <c r="C69" t="str">
        <f t="shared" si="4"/>
        <v>Jour</v>
      </c>
      <c r="D69">
        <v>1510886</v>
      </c>
      <c r="E69">
        <v>2607357</v>
      </c>
      <c r="F69" t="s">
        <v>25</v>
      </c>
      <c r="G69" t="s">
        <v>25</v>
      </c>
      <c r="H69" t="s">
        <v>189</v>
      </c>
      <c r="I69" t="s">
        <v>49</v>
      </c>
      <c r="J69" t="s">
        <v>4</v>
      </c>
      <c r="K69">
        <v>60706</v>
      </c>
      <c r="L69" t="s">
        <v>5</v>
      </c>
      <c r="M69" t="s">
        <v>6</v>
      </c>
      <c r="N69" s="2">
        <v>0.43333333333333335</v>
      </c>
      <c r="O69" s="2">
        <v>0.44166666666666665</v>
      </c>
      <c r="P69" s="2">
        <v>0.44791666666666669</v>
      </c>
      <c r="Q69" s="2">
        <v>0.46666666666666667</v>
      </c>
      <c r="R69" s="2">
        <v>0.47430555555555554</v>
      </c>
      <c r="S69" s="2">
        <v>0.49305555555555558</v>
      </c>
      <c r="T69" t="s">
        <v>38</v>
      </c>
      <c r="U69" t="s">
        <v>32</v>
      </c>
      <c r="V69" t="s">
        <v>8</v>
      </c>
      <c r="X69" t="s">
        <v>33</v>
      </c>
      <c r="Y69" t="s">
        <v>221</v>
      </c>
      <c r="Z69">
        <v>3</v>
      </c>
      <c r="AA69">
        <v>2</v>
      </c>
      <c r="AB69" t="s">
        <v>11</v>
      </c>
      <c r="AC69" t="s">
        <v>12</v>
      </c>
      <c r="AD69" t="s">
        <v>20</v>
      </c>
      <c r="AE69" t="s">
        <v>14</v>
      </c>
      <c r="AF69" s="1">
        <v>13322</v>
      </c>
      <c r="AG69">
        <f t="shared" ca="1" si="5"/>
        <v>89</v>
      </c>
    </row>
    <row r="70" spans="1:33" x14ac:dyDescent="0.2">
      <c r="A70" s="1">
        <v>46051</v>
      </c>
      <c r="B70" t="str">
        <f t="shared" si="3"/>
        <v>jeudi</v>
      </c>
      <c r="C70" t="str">
        <f t="shared" si="4"/>
        <v>Jour</v>
      </c>
      <c r="D70">
        <v>1494500</v>
      </c>
      <c r="E70">
        <v>2607448</v>
      </c>
      <c r="F70" t="s">
        <v>21</v>
      </c>
      <c r="G70" t="s">
        <v>1</v>
      </c>
      <c r="H70" t="s">
        <v>22</v>
      </c>
      <c r="I70" t="s">
        <v>23</v>
      </c>
      <c r="J70" t="s">
        <v>4</v>
      </c>
      <c r="K70">
        <v>60704</v>
      </c>
      <c r="L70" t="s">
        <v>5</v>
      </c>
      <c r="M70" t="s">
        <v>6</v>
      </c>
      <c r="N70" s="2">
        <v>0.59513888888888888</v>
      </c>
      <c r="O70" s="2">
        <v>0.59791666666666665</v>
      </c>
      <c r="P70" s="2">
        <v>0.59861111111111109</v>
      </c>
      <c r="Q70" s="2">
        <v>0.60972222222222228</v>
      </c>
      <c r="R70" s="2">
        <v>0.6166666666666667</v>
      </c>
      <c r="S70" s="2">
        <v>0.63541666666666663</v>
      </c>
      <c r="T70" t="s">
        <v>64</v>
      </c>
      <c r="U70" t="s">
        <v>251</v>
      </c>
      <c r="V70" t="s">
        <v>8</v>
      </c>
      <c r="X70" t="s">
        <v>264</v>
      </c>
      <c r="Y70" t="s">
        <v>222</v>
      </c>
      <c r="Z70">
        <v>2</v>
      </c>
      <c r="AA70">
        <v>2</v>
      </c>
      <c r="AB70" t="s">
        <v>11</v>
      </c>
      <c r="AC70" t="s">
        <v>12</v>
      </c>
      <c r="AD70" t="s">
        <v>20</v>
      </c>
      <c r="AE70" t="s">
        <v>14</v>
      </c>
      <c r="AF70" s="1">
        <v>33928</v>
      </c>
      <c r="AG70">
        <f t="shared" ca="1" si="5"/>
        <v>33</v>
      </c>
    </row>
    <row r="71" spans="1:33" x14ac:dyDescent="0.2">
      <c r="A71" s="1">
        <v>46051</v>
      </c>
      <c r="B71" t="str">
        <f t="shared" si="3"/>
        <v>jeudi</v>
      </c>
      <c r="C71" t="str">
        <f t="shared" si="4"/>
        <v>Jour</v>
      </c>
      <c r="D71">
        <v>1475611</v>
      </c>
      <c r="E71">
        <v>2607320</v>
      </c>
      <c r="F71" t="s">
        <v>15</v>
      </c>
      <c r="G71" t="s">
        <v>1</v>
      </c>
      <c r="H71" t="s">
        <v>42</v>
      </c>
      <c r="I71" t="s">
        <v>41</v>
      </c>
      <c r="J71" t="s">
        <v>4</v>
      </c>
      <c r="K71">
        <v>60709</v>
      </c>
      <c r="L71" t="s">
        <v>5</v>
      </c>
      <c r="M71" t="s">
        <v>6</v>
      </c>
      <c r="N71" s="2">
        <v>0.30972222222222223</v>
      </c>
      <c r="O71" s="2">
        <v>0.31041666666666667</v>
      </c>
      <c r="P71" s="2">
        <v>0.31527777777777777</v>
      </c>
      <c r="Q71" s="2">
        <v>0.33888888888888891</v>
      </c>
      <c r="R71" s="2">
        <v>0.34444444444444444</v>
      </c>
      <c r="S71" s="2">
        <v>0.36458333333333331</v>
      </c>
      <c r="T71" t="s">
        <v>7</v>
      </c>
      <c r="U71" t="s">
        <v>265</v>
      </c>
      <c r="V71" t="s">
        <v>8</v>
      </c>
      <c r="X71" t="s">
        <v>190</v>
      </c>
      <c r="Y71" t="s">
        <v>191</v>
      </c>
      <c r="Z71">
        <v>2</v>
      </c>
      <c r="AA71">
        <v>4</v>
      </c>
      <c r="AB71" t="s">
        <v>11</v>
      </c>
      <c r="AC71" t="s">
        <v>12</v>
      </c>
      <c r="AD71" t="s">
        <v>20</v>
      </c>
      <c r="AE71" t="s">
        <v>29</v>
      </c>
      <c r="AF71" s="1">
        <v>17493</v>
      </c>
      <c r="AG71">
        <f t="shared" ca="1" si="5"/>
        <v>78</v>
      </c>
    </row>
    <row r="72" spans="1:33" x14ac:dyDescent="0.2">
      <c r="A72" s="1">
        <v>46051</v>
      </c>
      <c r="B72" t="str">
        <f t="shared" si="3"/>
        <v>jeudi</v>
      </c>
      <c r="C72" t="str">
        <f t="shared" si="4"/>
        <v>Jour</v>
      </c>
      <c r="D72">
        <v>1475613</v>
      </c>
      <c r="E72">
        <v>2607388</v>
      </c>
      <c r="F72" t="s">
        <v>15</v>
      </c>
      <c r="G72" t="s">
        <v>25</v>
      </c>
      <c r="H72" t="s">
        <v>42</v>
      </c>
      <c r="I72" t="s">
        <v>41</v>
      </c>
      <c r="J72" t="s">
        <v>4</v>
      </c>
      <c r="K72">
        <v>60709</v>
      </c>
      <c r="L72" t="s">
        <v>5</v>
      </c>
      <c r="M72" t="s">
        <v>6</v>
      </c>
      <c r="N72" s="2">
        <v>0.48680555555555555</v>
      </c>
      <c r="O72" s="2">
        <v>0.48819444444444443</v>
      </c>
      <c r="P72" s="2">
        <v>0.49236111111111114</v>
      </c>
      <c r="Q72" s="2">
        <v>0.52152777777777781</v>
      </c>
      <c r="R72" s="2">
        <v>0.53402777777777777</v>
      </c>
      <c r="S72" s="2">
        <v>0.54861111111111116</v>
      </c>
      <c r="T72" t="s">
        <v>7</v>
      </c>
      <c r="U72" t="s">
        <v>251</v>
      </c>
      <c r="V72" t="s">
        <v>8</v>
      </c>
      <c r="X72" t="s">
        <v>33</v>
      </c>
      <c r="Y72" t="s">
        <v>208</v>
      </c>
      <c r="Z72">
        <v>3</v>
      </c>
      <c r="AA72">
        <v>3</v>
      </c>
      <c r="AB72" t="s">
        <v>11</v>
      </c>
      <c r="AC72" t="s">
        <v>12</v>
      </c>
      <c r="AD72" t="s">
        <v>20</v>
      </c>
      <c r="AE72" t="s">
        <v>29</v>
      </c>
      <c r="AF72" s="1">
        <v>16165</v>
      </c>
      <c r="AG72">
        <f t="shared" ca="1" si="5"/>
        <v>81</v>
      </c>
    </row>
    <row r="73" spans="1:33" x14ac:dyDescent="0.2">
      <c r="A73" s="1">
        <v>46050</v>
      </c>
      <c r="B73" t="str">
        <f t="shared" si="3"/>
        <v>mercredi</v>
      </c>
      <c r="C73" t="str">
        <f t="shared" si="4"/>
        <v>Jour</v>
      </c>
      <c r="D73">
        <v>1475610</v>
      </c>
      <c r="E73">
        <v>2607215</v>
      </c>
      <c r="F73" t="s">
        <v>15</v>
      </c>
      <c r="G73" t="s">
        <v>1</v>
      </c>
      <c r="H73" t="s">
        <v>103</v>
      </c>
      <c r="I73" t="s">
        <v>41</v>
      </c>
      <c r="J73" t="s">
        <v>4</v>
      </c>
      <c r="K73">
        <v>60709</v>
      </c>
      <c r="L73" t="s">
        <v>5</v>
      </c>
      <c r="M73" t="s">
        <v>6</v>
      </c>
      <c r="N73" s="2">
        <v>0.76458333333333328</v>
      </c>
      <c r="O73" s="2">
        <v>0.76527777777777772</v>
      </c>
      <c r="P73" s="2">
        <v>0.77222222222222225</v>
      </c>
      <c r="Q73" s="2">
        <v>0.79027777777777775</v>
      </c>
      <c r="R73" s="2">
        <v>0.8</v>
      </c>
      <c r="S73" s="2">
        <v>0.82291666666666663</v>
      </c>
      <c r="T73" t="s">
        <v>43</v>
      </c>
      <c r="U73" t="s">
        <v>104</v>
      </c>
      <c r="V73" t="s">
        <v>8</v>
      </c>
      <c r="X73" t="s">
        <v>105</v>
      </c>
      <c r="Y73" t="s">
        <v>106</v>
      </c>
      <c r="Z73">
        <v>3</v>
      </c>
      <c r="AA73">
        <v>2</v>
      </c>
      <c r="AB73" t="s">
        <v>11</v>
      </c>
      <c r="AC73" t="s">
        <v>28</v>
      </c>
      <c r="AD73" t="s">
        <v>44</v>
      </c>
      <c r="AE73" t="s">
        <v>14</v>
      </c>
      <c r="AF73" s="1">
        <v>37090</v>
      </c>
      <c r="AG73">
        <f t="shared" ca="1" si="5"/>
        <v>24</v>
      </c>
    </row>
    <row r="74" spans="1:33" x14ac:dyDescent="0.2">
      <c r="A74" s="1">
        <v>46051</v>
      </c>
      <c r="B74" t="str">
        <f t="shared" si="3"/>
        <v>jeudi</v>
      </c>
      <c r="C74" t="str">
        <f t="shared" si="4"/>
        <v>Jour</v>
      </c>
      <c r="D74">
        <v>1475612</v>
      </c>
      <c r="E74">
        <v>2607362</v>
      </c>
      <c r="F74" t="s">
        <v>15</v>
      </c>
      <c r="G74" t="s">
        <v>16</v>
      </c>
      <c r="H74" t="s">
        <v>41</v>
      </c>
      <c r="I74" t="s">
        <v>42</v>
      </c>
      <c r="J74" t="s">
        <v>4</v>
      </c>
      <c r="K74">
        <v>60709</v>
      </c>
      <c r="L74" t="s">
        <v>5</v>
      </c>
      <c r="M74" t="s">
        <v>6</v>
      </c>
      <c r="N74" s="2">
        <v>0.4375</v>
      </c>
      <c r="O74" s="2">
        <v>0.43888888888888888</v>
      </c>
      <c r="P74" s="2">
        <v>0.4465277777777778</v>
      </c>
      <c r="Q74" s="2">
        <v>0.45694444444444443</v>
      </c>
      <c r="R74" s="2">
        <v>0.46805555555555556</v>
      </c>
      <c r="S74" s="2">
        <v>0.4861111111111111</v>
      </c>
      <c r="T74" t="s">
        <v>87</v>
      </c>
      <c r="U74" t="s">
        <v>265</v>
      </c>
      <c r="V74" t="s">
        <v>8</v>
      </c>
      <c r="X74" t="s">
        <v>58</v>
      </c>
      <c r="Y74" t="s">
        <v>59</v>
      </c>
      <c r="Z74">
        <v>2</v>
      </c>
      <c r="AA74">
        <v>2</v>
      </c>
      <c r="AB74" t="s">
        <v>11</v>
      </c>
      <c r="AC74" t="s">
        <v>12</v>
      </c>
      <c r="AD74" t="s">
        <v>13</v>
      </c>
      <c r="AE74" t="s">
        <v>29</v>
      </c>
      <c r="AF74" s="1">
        <v>33134</v>
      </c>
      <c r="AG74">
        <f t="shared" ca="1" si="5"/>
        <v>35</v>
      </c>
    </row>
    <row r="75" spans="1:33" x14ac:dyDescent="0.2">
      <c r="A75" s="1">
        <v>46050</v>
      </c>
      <c r="B75" t="str">
        <f t="shared" si="3"/>
        <v>mercredi</v>
      </c>
      <c r="C75" t="str">
        <f t="shared" si="4"/>
        <v>Jour</v>
      </c>
      <c r="D75">
        <v>1510885</v>
      </c>
      <c r="E75">
        <v>2607232</v>
      </c>
      <c r="F75" t="s">
        <v>0</v>
      </c>
      <c r="G75" t="s">
        <v>16</v>
      </c>
      <c r="H75" t="s">
        <v>203</v>
      </c>
      <c r="I75" t="s">
        <v>213</v>
      </c>
      <c r="J75" t="s">
        <v>4</v>
      </c>
      <c r="K75">
        <v>60706</v>
      </c>
      <c r="L75" t="s">
        <v>5</v>
      </c>
      <c r="M75" t="s">
        <v>6</v>
      </c>
      <c r="N75" s="2">
        <v>0.81458333333333333</v>
      </c>
      <c r="O75" s="2">
        <v>0.81597222222222221</v>
      </c>
      <c r="P75" s="2">
        <v>0.82152777777777775</v>
      </c>
      <c r="Q75" s="2">
        <v>0.84513888888888888</v>
      </c>
      <c r="R75" s="2">
        <v>0.8569444444444444</v>
      </c>
      <c r="S75" s="2">
        <v>0.88541666666666663</v>
      </c>
      <c r="T75" t="s">
        <v>7</v>
      </c>
      <c r="U75" t="s">
        <v>82</v>
      </c>
      <c r="V75" t="s">
        <v>8</v>
      </c>
      <c r="X75" t="s">
        <v>33</v>
      </c>
      <c r="Y75" t="s">
        <v>40</v>
      </c>
      <c r="Z75">
        <v>2</v>
      </c>
      <c r="AA75">
        <v>3</v>
      </c>
      <c r="AB75" t="s">
        <v>11</v>
      </c>
      <c r="AC75" t="s">
        <v>12</v>
      </c>
      <c r="AD75" t="s">
        <v>107</v>
      </c>
      <c r="AE75" t="s">
        <v>14</v>
      </c>
      <c r="AF75" s="1">
        <v>39048</v>
      </c>
      <c r="AG75">
        <f t="shared" ca="1" si="5"/>
        <v>19</v>
      </c>
    </row>
    <row r="76" spans="1:33" x14ac:dyDescent="0.2">
      <c r="A76" s="1">
        <v>46051</v>
      </c>
      <c r="B76" t="str">
        <f t="shared" si="3"/>
        <v>jeudi</v>
      </c>
      <c r="C76" t="str">
        <f t="shared" si="4"/>
        <v>Nuit</v>
      </c>
      <c r="D76">
        <v>1510815</v>
      </c>
      <c r="E76">
        <v>2607297</v>
      </c>
      <c r="F76" t="s">
        <v>0</v>
      </c>
      <c r="G76" t="s">
        <v>16</v>
      </c>
      <c r="H76" t="s">
        <v>203</v>
      </c>
      <c r="I76" t="s">
        <v>213</v>
      </c>
      <c r="J76" t="s">
        <v>4</v>
      </c>
      <c r="K76">
        <v>60707</v>
      </c>
      <c r="L76" t="s">
        <v>5</v>
      </c>
      <c r="M76" t="s">
        <v>6</v>
      </c>
      <c r="N76" s="2">
        <v>8.7499999999999994E-2</v>
      </c>
      <c r="O76" s="2">
        <v>8.9583333333333334E-2</v>
      </c>
      <c r="P76" s="2">
        <v>9.0972222222222218E-2</v>
      </c>
      <c r="Q76" s="2">
        <v>0.1076388888888889</v>
      </c>
      <c r="R76" s="2">
        <v>0.11319444444444444</v>
      </c>
      <c r="S76" s="2">
        <v>0.12847222222222221</v>
      </c>
      <c r="T76" t="s">
        <v>7</v>
      </c>
      <c r="U76" t="s">
        <v>263</v>
      </c>
      <c r="V76" t="s">
        <v>24</v>
      </c>
      <c r="X76" t="s">
        <v>209</v>
      </c>
      <c r="Y76" t="s">
        <v>80</v>
      </c>
      <c r="Z76">
        <v>3</v>
      </c>
      <c r="AA76">
        <v>2</v>
      </c>
      <c r="AB76" t="s">
        <v>11</v>
      </c>
      <c r="AC76" t="s">
        <v>12</v>
      </c>
      <c r="AD76" t="s">
        <v>20</v>
      </c>
      <c r="AE76" t="s">
        <v>14</v>
      </c>
      <c r="AF76" s="1">
        <v>25242</v>
      </c>
      <c r="AG76">
        <f t="shared" ca="1" si="5"/>
        <v>57</v>
      </c>
    </row>
    <row r="77" spans="1:33" x14ac:dyDescent="0.2">
      <c r="A77" s="1">
        <v>46044</v>
      </c>
      <c r="B77" t="str">
        <f t="shared" si="3"/>
        <v>jeudi</v>
      </c>
      <c r="C77" t="str">
        <f t="shared" si="4"/>
        <v>Jour</v>
      </c>
      <c r="D77">
        <v>1500191</v>
      </c>
      <c r="E77">
        <v>2605598</v>
      </c>
      <c r="F77" t="s">
        <v>21</v>
      </c>
      <c r="G77" t="s">
        <v>1</v>
      </c>
      <c r="H77" t="s">
        <v>81</v>
      </c>
      <c r="I77" t="s">
        <v>55</v>
      </c>
      <c r="J77" t="s">
        <v>4</v>
      </c>
      <c r="K77">
        <v>60704</v>
      </c>
      <c r="L77" t="s">
        <v>5</v>
      </c>
      <c r="M77" t="s">
        <v>6</v>
      </c>
      <c r="N77" s="2">
        <v>0.72777777777777775</v>
      </c>
      <c r="O77" s="2">
        <v>0.72916666666666663</v>
      </c>
      <c r="P77" s="2">
        <v>0.7319444444444444</v>
      </c>
      <c r="Q77" s="2">
        <v>0.7583333333333333</v>
      </c>
      <c r="R77" s="2">
        <v>0.76875000000000004</v>
      </c>
      <c r="S77" s="2">
        <v>0.77777777777777779</v>
      </c>
      <c r="T77" t="s">
        <v>7</v>
      </c>
      <c r="U77" t="s">
        <v>251</v>
      </c>
      <c r="V77" t="s">
        <v>8</v>
      </c>
      <c r="X77" t="s">
        <v>66</v>
      </c>
      <c r="Y77" t="s">
        <v>85</v>
      </c>
      <c r="Z77">
        <v>3</v>
      </c>
      <c r="AA77">
        <v>2</v>
      </c>
      <c r="AB77" t="s">
        <v>11</v>
      </c>
      <c r="AC77" t="s">
        <v>12</v>
      </c>
      <c r="AD77" t="s">
        <v>20</v>
      </c>
      <c r="AE77" t="s">
        <v>29</v>
      </c>
      <c r="AF77" s="1">
        <v>14901</v>
      </c>
      <c r="AG77">
        <f t="shared" ca="1" si="5"/>
        <v>85</v>
      </c>
    </row>
    <row r="78" spans="1:33" x14ac:dyDescent="0.2">
      <c r="A78" s="1">
        <v>46044</v>
      </c>
      <c r="B78" t="str">
        <f t="shared" si="3"/>
        <v>jeudi</v>
      </c>
      <c r="C78" t="str">
        <f t="shared" si="4"/>
        <v>Jour</v>
      </c>
      <c r="D78">
        <v>1500189</v>
      </c>
      <c r="E78">
        <v>2605523</v>
      </c>
      <c r="F78" t="s">
        <v>21</v>
      </c>
      <c r="G78" t="s">
        <v>16</v>
      </c>
      <c r="H78" t="s">
        <v>81</v>
      </c>
      <c r="I78" t="s">
        <v>55</v>
      </c>
      <c r="J78" t="s">
        <v>4</v>
      </c>
      <c r="K78">
        <v>60704</v>
      </c>
      <c r="L78" t="s">
        <v>5</v>
      </c>
      <c r="M78" t="s">
        <v>6</v>
      </c>
      <c r="N78" s="2">
        <v>0.53611111111111109</v>
      </c>
      <c r="O78" s="2">
        <v>0.53819444444444442</v>
      </c>
      <c r="P78" s="2">
        <v>0.54166666666666663</v>
      </c>
      <c r="Q78" s="2">
        <v>0.55555555555555558</v>
      </c>
      <c r="R78" s="2">
        <v>0.56111111111111112</v>
      </c>
      <c r="S78" s="2">
        <v>0.57638888888888884</v>
      </c>
      <c r="T78" t="s">
        <v>43</v>
      </c>
      <c r="U78" t="s">
        <v>251</v>
      </c>
      <c r="V78" t="s">
        <v>86</v>
      </c>
      <c r="X78" t="s">
        <v>74</v>
      </c>
      <c r="Y78" t="s">
        <v>75</v>
      </c>
      <c r="Z78">
        <v>3</v>
      </c>
      <c r="AA78">
        <v>2</v>
      </c>
      <c r="AB78" t="s">
        <v>11</v>
      </c>
      <c r="AC78" t="s">
        <v>28</v>
      </c>
      <c r="AD78" t="s">
        <v>44</v>
      </c>
      <c r="AE78" t="s">
        <v>14</v>
      </c>
      <c r="AF78" s="1">
        <v>16096</v>
      </c>
      <c r="AG78">
        <f t="shared" ca="1" si="5"/>
        <v>82</v>
      </c>
    </row>
    <row r="79" spans="1:33" x14ac:dyDescent="0.2">
      <c r="A79" s="1">
        <v>46044</v>
      </c>
      <c r="B79" t="str">
        <f t="shared" si="3"/>
        <v>jeudi</v>
      </c>
      <c r="C79" t="str">
        <f t="shared" si="4"/>
        <v>Jour</v>
      </c>
      <c r="D79">
        <v>1500187</v>
      </c>
      <c r="E79">
        <v>2605470</v>
      </c>
      <c r="F79" t="s">
        <v>21</v>
      </c>
      <c r="G79" t="s">
        <v>16</v>
      </c>
      <c r="H79" t="s">
        <v>81</v>
      </c>
      <c r="I79" t="s">
        <v>55</v>
      </c>
      <c r="J79" t="s">
        <v>256</v>
      </c>
      <c r="K79">
        <v>60704</v>
      </c>
      <c r="L79" t="s">
        <v>5</v>
      </c>
      <c r="M79" t="s">
        <v>6</v>
      </c>
      <c r="N79" s="2">
        <v>0.41249999999999998</v>
      </c>
      <c r="O79" s="2">
        <v>0.41388888888888886</v>
      </c>
      <c r="P79" s="2">
        <v>0.4201388888888889</v>
      </c>
      <c r="Q79" s="2">
        <v>0.43611111111111112</v>
      </c>
      <c r="R79" s="2">
        <v>0.44583333333333336</v>
      </c>
      <c r="S79" s="2">
        <v>0.46527777777777779</v>
      </c>
      <c r="T79" t="s">
        <v>8</v>
      </c>
      <c r="U79" t="s">
        <v>18</v>
      </c>
      <c r="V79" t="s">
        <v>8</v>
      </c>
      <c r="X79" t="s">
        <v>192</v>
      </c>
      <c r="Y79" t="s">
        <v>198</v>
      </c>
      <c r="Z79">
        <v>2</v>
      </c>
      <c r="AA79">
        <v>3</v>
      </c>
      <c r="AB79" t="s">
        <v>11</v>
      </c>
      <c r="AC79" t="s">
        <v>28</v>
      </c>
      <c r="AD79" t="s">
        <v>20</v>
      </c>
      <c r="AE79" t="s">
        <v>14</v>
      </c>
      <c r="AF79" s="1">
        <v>11743</v>
      </c>
      <c r="AG79">
        <f t="shared" ca="1" si="5"/>
        <v>93</v>
      </c>
    </row>
    <row r="80" spans="1:33" x14ac:dyDescent="0.2">
      <c r="A80" s="1">
        <v>46051</v>
      </c>
      <c r="B80" t="str">
        <f t="shared" si="3"/>
        <v>jeudi</v>
      </c>
      <c r="C80" t="str">
        <f t="shared" si="4"/>
        <v>Jour</v>
      </c>
      <c r="D80">
        <v>1510972</v>
      </c>
      <c r="E80">
        <v>2607014</v>
      </c>
      <c r="F80" t="s">
        <v>21</v>
      </c>
      <c r="G80" t="s">
        <v>16</v>
      </c>
      <c r="H80" t="s">
        <v>23</v>
      </c>
      <c r="I80" t="s">
        <v>22</v>
      </c>
      <c r="J80" t="s">
        <v>4</v>
      </c>
      <c r="K80">
        <v>60704</v>
      </c>
      <c r="L80" t="s">
        <v>5</v>
      </c>
      <c r="M80" t="s">
        <v>6</v>
      </c>
      <c r="N80" s="2">
        <v>0.4513888888888889</v>
      </c>
      <c r="O80" s="2">
        <v>0.45277777777777778</v>
      </c>
      <c r="P80" s="2">
        <v>0.46041666666666664</v>
      </c>
      <c r="Q80" s="2">
        <v>0.50763888888888886</v>
      </c>
      <c r="R80" s="2">
        <v>0.51597222222222228</v>
      </c>
      <c r="S80" s="2">
        <v>0.53749999999999998</v>
      </c>
      <c r="T80" t="s">
        <v>7</v>
      </c>
      <c r="U80" t="s">
        <v>251</v>
      </c>
      <c r="V80" t="s">
        <v>8</v>
      </c>
      <c r="X80" t="s">
        <v>33</v>
      </c>
      <c r="Y80" t="s">
        <v>108</v>
      </c>
      <c r="Z80">
        <v>4</v>
      </c>
      <c r="AA80">
        <v>3</v>
      </c>
      <c r="AB80" t="s">
        <v>11</v>
      </c>
      <c r="AC80" t="s">
        <v>12</v>
      </c>
      <c r="AD80" t="s">
        <v>20</v>
      </c>
      <c r="AE80" t="s">
        <v>14</v>
      </c>
      <c r="AF80" s="1">
        <v>18374</v>
      </c>
      <c r="AG80">
        <f t="shared" ca="1" si="5"/>
        <v>75</v>
      </c>
    </row>
    <row r="81" spans="1:33" x14ac:dyDescent="0.2">
      <c r="A81" s="1">
        <v>46051</v>
      </c>
      <c r="B81" t="str">
        <f t="shared" si="3"/>
        <v>jeudi</v>
      </c>
      <c r="C81" t="str">
        <f t="shared" si="4"/>
        <v>Jour</v>
      </c>
      <c r="D81">
        <v>1510974</v>
      </c>
      <c r="E81">
        <v>2607188</v>
      </c>
      <c r="F81" t="s">
        <v>21</v>
      </c>
      <c r="G81" t="s">
        <v>1</v>
      </c>
      <c r="H81" t="s">
        <v>23</v>
      </c>
      <c r="I81" t="s">
        <v>22</v>
      </c>
      <c r="J81" t="s">
        <v>4</v>
      </c>
      <c r="K81">
        <v>60704</v>
      </c>
      <c r="L81" t="s">
        <v>5</v>
      </c>
      <c r="M81" t="s">
        <v>6</v>
      </c>
      <c r="N81" s="2">
        <v>0.71944444444444444</v>
      </c>
      <c r="O81" s="2">
        <v>0.72013888888888888</v>
      </c>
      <c r="P81" s="2">
        <v>0.72291666666666665</v>
      </c>
      <c r="Q81" s="2">
        <v>0.73819444444444449</v>
      </c>
      <c r="R81" s="2">
        <v>0.73958333333333337</v>
      </c>
      <c r="S81" s="2">
        <v>0.76388888888888884</v>
      </c>
      <c r="T81" t="s">
        <v>7</v>
      </c>
      <c r="U81" t="s">
        <v>251</v>
      </c>
      <c r="V81" t="s">
        <v>8</v>
      </c>
      <c r="X81" t="s">
        <v>214</v>
      </c>
      <c r="Y81" t="s">
        <v>215</v>
      </c>
      <c r="Z81">
        <v>1</v>
      </c>
      <c r="AA81">
        <v>4</v>
      </c>
      <c r="AB81" t="s">
        <v>11</v>
      </c>
      <c r="AC81" t="s">
        <v>12</v>
      </c>
      <c r="AD81" t="s">
        <v>20</v>
      </c>
      <c r="AE81" t="s">
        <v>14</v>
      </c>
      <c r="AF81" s="1">
        <v>14665</v>
      </c>
      <c r="AG81">
        <f t="shared" ca="1" si="5"/>
        <v>85</v>
      </c>
    </row>
    <row r="82" spans="1:33" x14ac:dyDescent="0.2">
      <c r="A82" s="1">
        <v>46051</v>
      </c>
      <c r="B82" t="str">
        <f t="shared" si="3"/>
        <v>jeudi</v>
      </c>
      <c r="C82" t="str">
        <f t="shared" si="4"/>
        <v>Nuit</v>
      </c>
      <c r="D82">
        <v>1510814</v>
      </c>
      <c r="E82">
        <v>2607271</v>
      </c>
      <c r="F82" t="s">
        <v>0</v>
      </c>
      <c r="G82" t="s">
        <v>1</v>
      </c>
      <c r="H82" t="s">
        <v>213</v>
      </c>
      <c r="I82" t="s">
        <v>203</v>
      </c>
      <c r="J82" t="s">
        <v>4</v>
      </c>
      <c r="K82">
        <v>60707</v>
      </c>
      <c r="L82" t="s">
        <v>5</v>
      </c>
      <c r="M82" t="s">
        <v>6</v>
      </c>
      <c r="N82" s="2">
        <v>0.94791666666666663</v>
      </c>
      <c r="O82" s="2">
        <v>0.94930555555555551</v>
      </c>
      <c r="P82" s="2">
        <v>0.95208333333333328</v>
      </c>
      <c r="Q82" s="2">
        <v>0.96180555555555558</v>
      </c>
      <c r="R82" s="2">
        <v>0.96527777777777779</v>
      </c>
      <c r="S82" s="2">
        <v>3.472222222222222E-3</v>
      </c>
      <c r="T82" t="s">
        <v>24</v>
      </c>
      <c r="U82" t="s">
        <v>265</v>
      </c>
      <c r="V82" t="s">
        <v>8</v>
      </c>
      <c r="X82" t="s">
        <v>214</v>
      </c>
      <c r="Y82" t="s">
        <v>215</v>
      </c>
      <c r="Z82">
        <v>1</v>
      </c>
      <c r="AA82">
        <v>4</v>
      </c>
      <c r="AB82" t="s">
        <v>11</v>
      </c>
      <c r="AC82" t="s">
        <v>12</v>
      </c>
      <c r="AD82" t="s">
        <v>36</v>
      </c>
      <c r="AE82" t="s">
        <v>14</v>
      </c>
      <c r="AF82" s="1">
        <v>25375</v>
      </c>
      <c r="AG82">
        <f t="shared" ca="1" si="5"/>
        <v>56</v>
      </c>
    </row>
    <row r="83" spans="1:33" x14ac:dyDescent="0.2">
      <c r="A83" s="1">
        <v>46050</v>
      </c>
      <c r="B83" t="str">
        <f t="shared" si="3"/>
        <v>mercredi</v>
      </c>
      <c r="C83" t="str">
        <f t="shared" si="4"/>
        <v>Nuit</v>
      </c>
      <c r="D83">
        <v>1510975</v>
      </c>
      <c r="E83">
        <v>2607244</v>
      </c>
      <c r="F83" t="s">
        <v>45</v>
      </c>
      <c r="G83" t="s">
        <v>1</v>
      </c>
      <c r="H83" t="s">
        <v>99</v>
      </c>
      <c r="I83" t="s">
        <v>98</v>
      </c>
      <c r="J83" t="s">
        <v>4</v>
      </c>
      <c r="K83">
        <v>60704</v>
      </c>
      <c r="L83" t="s">
        <v>61</v>
      </c>
      <c r="M83" t="s">
        <v>204</v>
      </c>
      <c r="N83" s="2">
        <v>0.84722222222222221</v>
      </c>
      <c r="O83" s="2">
        <v>0.84930555555555554</v>
      </c>
      <c r="P83" s="2">
        <v>0.85347222222222219</v>
      </c>
      <c r="Q83" s="2">
        <v>0.88055555555555554</v>
      </c>
      <c r="R83" s="2">
        <v>0.88263888888888886</v>
      </c>
      <c r="S83" s="2">
        <v>0.90902777777777777</v>
      </c>
      <c r="T83" t="s">
        <v>7</v>
      </c>
      <c r="U83" t="s">
        <v>251</v>
      </c>
      <c r="V83" t="s">
        <v>8</v>
      </c>
      <c r="X83" t="s">
        <v>252</v>
      </c>
      <c r="Y83" t="s">
        <v>48</v>
      </c>
      <c r="Z83">
        <v>2</v>
      </c>
      <c r="AA83">
        <v>4</v>
      </c>
      <c r="AB83" t="s">
        <v>11</v>
      </c>
      <c r="AC83" t="s">
        <v>12</v>
      </c>
      <c r="AD83" t="s">
        <v>20</v>
      </c>
      <c r="AE83" t="s">
        <v>14</v>
      </c>
      <c r="AF83" s="1">
        <v>15084</v>
      </c>
      <c r="AG83">
        <f t="shared" ca="1" si="5"/>
        <v>84</v>
      </c>
    </row>
    <row r="84" spans="1:33" x14ac:dyDescent="0.2">
      <c r="A84" s="1">
        <v>46049</v>
      </c>
      <c r="B84" t="str">
        <f t="shared" si="3"/>
        <v>mardi</v>
      </c>
      <c r="C84" t="str">
        <f t="shared" si="4"/>
        <v>Jour</v>
      </c>
      <c r="D84">
        <v>1510965</v>
      </c>
      <c r="E84">
        <v>2606808</v>
      </c>
      <c r="F84" t="s">
        <v>21</v>
      </c>
      <c r="G84" t="s">
        <v>16</v>
      </c>
      <c r="H84" t="s">
        <v>99</v>
      </c>
      <c r="I84" t="s">
        <v>98</v>
      </c>
      <c r="J84" t="s">
        <v>4</v>
      </c>
      <c r="K84">
        <v>60704</v>
      </c>
      <c r="L84" t="s">
        <v>5</v>
      </c>
      <c r="M84" t="s">
        <v>6</v>
      </c>
      <c r="N84" s="2">
        <v>0.625</v>
      </c>
      <c r="O84" s="2">
        <v>0.62708333333333333</v>
      </c>
      <c r="P84" s="2">
        <v>0.64444444444444449</v>
      </c>
      <c r="Q84" s="2">
        <v>0.66249999999999998</v>
      </c>
      <c r="R84" s="2">
        <v>0.67569444444444449</v>
      </c>
      <c r="S84" s="2">
        <v>0.7104166666666667</v>
      </c>
      <c r="T84" t="s">
        <v>7</v>
      </c>
      <c r="U84" t="s">
        <v>104</v>
      </c>
      <c r="V84" t="s">
        <v>8</v>
      </c>
      <c r="X84" t="s">
        <v>214</v>
      </c>
      <c r="Y84" t="s">
        <v>79</v>
      </c>
      <c r="Z84">
        <v>3</v>
      </c>
      <c r="AA84">
        <v>2</v>
      </c>
      <c r="AB84" t="s">
        <v>11</v>
      </c>
      <c r="AC84" t="s">
        <v>12</v>
      </c>
      <c r="AD84" t="s">
        <v>20</v>
      </c>
      <c r="AE84" t="s">
        <v>14</v>
      </c>
      <c r="AF84" s="1">
        <v>13677</v>
      </c>
      <c r="AG84">
        <f t="shared" ca="1" si="5"/>
        <v>88</v>
      </c>
    </row>
    <row r="85" spans="1:33" x14ac:dyDescent="0.2">
      <c r="A85" s="1">
        <v>46049</v>
      </c>
      <c r="B85" t="str">
        <f t="shared" si="3"/>
        <v>mardi</v>
      </c>
      <c r="C85" t="str">
        <f t="shared" si="4"/>
        <v>Jour</v>
      </c>
      <c r="D85">
        <v>1510967</v>
      </c>
      <c r="E85">
        <v>2606856</v>
      </c>
      <c r="F85" t="s">
        <v>45</v>
      </c>
      <c r="G85" t="s">
        <v>16</v>
      </c>
      <c r="H85" t="s">
        <v>98</v>
      </c>
      <c r="I85" t="s">
        <v>99</v>
      </c>
      <c r="J85" t="s">
        <v>4</v>
      </c>
      <c r="K85">
        <v>60704</v>
      </c>
      <c r="L85" t="s">
        <v>5</v>
      </c>
      <c r="M85" t="s">
        <v>6</v>
      </c>
      <c r="N85" s="2">
        <v>0.75138888888888888</v>
      </c>
      <c r="O85" s="2">
        <v>0.75277777777777777</v>
      </c>
      <c r="P85" s="2">
        <v>0.75972222222222219</v>
      </c>
      <c r="Q85" s="2">
        <v>0.76597222222222228</v>
      </c>
      <c r="R85" s="2">
        <v>0.78333333333333333</v>
      </c>
      <c r="S85" s="2">
        <v>0.80555555555555558</v>
      </c>
      <c r="T85" t="s">
        <v>43</v>
      </c>
      <c r="U85" t="s">
        <v>251</v>
      </c>
      <c r="V85" t="s">
        <v>8</v>
      </c>
      <c r="X85" t="s">
        <v>200</v>
      </c>
      <c r="Y85" t="s">
        <v>51</v>
      </c>
      <c r="Z85">
        <v>3</v>
      </c>
      <c r="AA85">
        <v>3</v>
      </c>
      <c r="AB85" t="s">
        <v>11</v>
      </c>
      <c r="AC85" t="s">
        <v>12</v>
      </c>
      <c r="AD85" t="s">
        <v>20</v>
      </c>
      <c r="AE85" t="s">
        <v>29</v>
      </c>
      <c r="AF85" s="1">
        <v>32226</v>
      </c>
      <c r="AG85">
        <f t="shared" ca="1" si="5"/>
        <v>37</v>
      </c>
    </row>
    <row r="86" spans="1:33" x14ac:dyDescent="0.2">
      <c r="A86" s="1">
        <v>46050</v>
      </c>
      <c r="B86" t="str">
        <f t="shared" si="3"/>
        <v>mercredi</v>
      </c>
      <c r="C86" t="str">
        <f t="shared" si="4"/>
        <v>Jour</v>
      </c>
      <c r="D86">
        <v>1494498</v>
      </c>
      <c r="E86">
        <v>2607186</v>
      </c>
      <c r="F86" t="s">
        <v>56</v>
      </c>
      <c r="G86" t="s">
        <v>1</v>
      </c>
      <c r="H86" t="s">
        <v>69</v>
      </c>
      <c r="I86" t="s">
        <v>68</v>
      </c>
      <c r="J86" t="s">
        <v>4</v>
      </c>
      <c r="K86">
        <v>60708</v>
      </c>
      <c r="L86" t="s">
        <v>5</v>
      </c>
      <c r="M86" t="s">
        <v>6</v>
      </c>
      <c r="N86" s="2">
        <v>0.71666666666666667</v>
      </c>
      <c r="O86" s="2">
        <v>0.71736111111111112</v>
      </c>
      <c r="P86" s="2">
        <v>0.71805555555555556</v>
      </c>
      <c r="Q86" s="2">
        <v>0.72777777777777775</v>
      </c>
      <c r="R86" s="2">
        <v>0.7319444444444444</v>
      </c>
      <c r="S86" s="2">
        <v>0.74930555555555556</v>
      </c>
      <c r="T86" t="s">
        <v>24</v>
      </c>
      <c r="U86" t="s">
        <v>265</v>
      </c>
      <c r="V86" t="s">
        <v>8</v>
      </c>
      <c r="X86" t="s">
        <v>214</v>
      </c>
      <c r="Y86" t="s">
        <v>215</v>
      </c>
      <c r="Z86">
        <v>4</v>
      </c>
      <c r="AA86">
        <v>4</v>
      </c>
      <c r="AB86" t="s">
        <v>11</v>
      </c>
      <c r="AC86" t="s">
        <v>12</v>
      </c>
      <c r="AD86" t="s">
        <v>20</v>
      </c>
      <c r="AE86" t="s">
        <v>29</v>
      </c>
      <c r="AF86" s="1">
        <v>18166</v>
      </c>
      <c r="AG86">
        <f t="shared" ca="1" si="5"/>
        <v>76</v>
      </c>
    </row>
    <row r="87" spans="1:33" x14ac:dyDescent="0.2">
      <c r="A87" s="1">
        <v>46050</v>
      </c>
      <c r="B87" t="str">
        <f t="shared" si="3"/>
        <v>mercredi</v>
      </c>
      <c r="C87" t="str">
        <f t="shared" si="4"/>
        <v>Jour</v>
      </c>
      <c r="D87">
        <v>1475609</v>
      </c>
      <c r="E87">
        <v>2607154</v>
      </c>
      <c r="F87" t="s">
        <v>15</v>
      </c>
      <c r="G87" t="s">
        <v>1</v>
      </c>
      <c r="H87" t="s">
        <v>41</v>
      </c>
      <c r="I87" t="s">
        <v>103</v>
      </c>
      <c r="J87" t="s">
        <v>256</v>
      </c>
      <c r="K87">
        <v>60709</v>
      </c>
      <c r="L87" t="s">
        <v>5</v>
      </c>
      <c r="M87" t="s">
        <v>6</v>
      </c>
      <c r="N87" s="2">
        <v>0.65833333333333333</v>
      </c>
      <c r="O87" s="2">
        <v>0.65972222222222221</v>
      </c>
      <c r="P87" s="2">
        <v>0.6645833333333333</v>
      </c>
      <c r="Q87" s="2">
        <v>0.67708333333333337</v>
      </c>
      <c r="R87" s="2">
        <v>0.68402777777777779</v>
      </c>
      <c r="S87" s="2">
        <v>0.70833333333333337</v>
      </c>
      <c r="T87" t="s">
        <v>8</v>
      </c>
      <c r="U87" t="s">
        <v>32</v>
      </c>
      <c r="V87" t="s">
        <v>8</v>
      </c>
      <c r="X87" t="s">
        <v>214</v>
      </c>
      <c r="Y87" t="s">
        <v>215</v>
      </c>
      <c r="Z87">
        <v>1</v>
      </c>
      <c r="AA87">
        <v>4</v>
      </c>
      <c r="AB87" t="s">
        <v>11</v>
      </c>
      <c r="AC87" t="s">
        <v>12</v>
      </c>
      <c r="AD87" t="s">
        <v>20</v>
      </c>
      <c r="AE87" t="s">
        <v>29</v>
      </c>
      <c r="AF87" s="1">
        <v>16965</v>
      </c>
      <c r="AG87">
        <f t="shared" ca="1" si="5"/>
        <v>79</v>
      </c>
    </row>
    <row r="88" spans="1:33" x14ac:dyDescent="0.2">
      <c r="A88" s="1">
        <v>46050</v>
      </c>
      <c r="B88" t="str">
        <f t="shared" si="3"/>
        <v>mercredi</v>
      </c>
      <c r="C88" t="str">
        <f t="shared" si="4"/>
        <v>Jour</v>
      </c>
      <c r="D88">
        <v>149496</v>
      </c>
      <c r="E88">
        <v>2607043</v>
      </c>
      <c r="F88" t="s">
        <v>56</v>
      </c>
      <c r="G88" t="s">
        <v>1</v>
      </c>
      <c r="H88" t="s">
        <v>69</v>
      </c>
      <c r="I88" t="s">
        <v>68</v>
      </c>
      <c r="J88" t="s">
        <v>4</v>
      </c>
      <c r="K88">
        <v>60708</v>
      </c>
      <c r="L88" t="s">
        <v>61</v>
      </c>
      <c r="M88" t="s">
        <v>195</v>
      </c>
      <c r="N88" s="2">
        <v>0.51249999999999996</v>
      </c>
      <c r="O88" s="2">
        <v>0.5131944444444444</v>
      </c>
      <c r="P88" s="2">
        <v>0.5180555555555556</v>
      </c>
      <c r="Q88" s="2">
        <v>0.53333333333333333</v>
      </c>
      <c r="R88" s="2">
        <v>0.54166666666666663</v>
      </c>
      <c r="S88" s="2">
        <v>0.56944444444444442</v>
      </c>
      <c r="T88" t="s">
        <v>52</v>
      </c>
      <c r="U88" t="s">
        <v>109</v>
      </c>
      <c r="V88" t="s">
        <v>8</v>
      </c>
      <c r="X88" t="s">
        <v>100</v>
      </c>
      <c r="Y88" t="s">
        <v>217</v>
      </c>
      <c r="Z88">
        <v>2</v>
      </c>
      <c r="AA88">
        <v>4</v>
      </c>
      <c r="AB88" t="s">
        <v>11</v>
      </c>
      <c r="AC88" t="s">
        <v>12</v>
      </c>
      <c r="AD88" t="s">
        <v>36</v>
      </c>
      <c r="AE88" t="s">
        <v>14</v>
      </c>
      <c r="AF88" s="1">
        <v>31443</v>
      </c>
      <c r="AG88">
        <f t="shared" ca="1" si="5"/>
        <v>40</v>
      </c>
    </row>
    <row r="89" spans="1:33" x14ac:dyDescent="0.2">
      <c r="A89" s="1">
        <v>46050</v>
      </c>
      <c r="B89" t="str">
        <f t="shared" si="3"/>
        <v>mercredi</v>
      </c>
      <c r="C89" t="str">
        <f t="shared" si="4"/>
        <v>Jour</v>
      </c>
      <c r="D89">
        <v>1494497</v>
      </c>
      <c r="E89">
        <v>2607070</v>
      </c>
      <c r="F89" t="s">
        <v>56</v>
      </c>
      <c r="G89" t="s">
        <v>1</v>
      </c>
      <c r="H89" t="s">
        <v>68</v>
      </c>
      <c r="I89" t="s">
        <v>69</v>
      </c>
      <c r="J89" t="s">
        <v>4</v>
      </c>
      <c r="K89">
        <v>60708</v>
      </c>
      <c r="L89" t="s">
        <v>61</v>
      </c>
      <c r="M89" t="s">
        <v>195</v>
      </c>
      <c r="N89" s="2">
        <v>0.57361111111111107</v>
      </c>
      <c r="O89" s="2">
        <v>0.57361111111111107</v>
      </c>
      <c r="P89" s="2">
        <v>0.57638888888888884</v>
      </c>
      <c r="Q89" s="2">
        <v>0.59583333333333333</v>
      </c>
      <c r="R89" s="2">
        <v>0.59652777777777777</v>
      </c>
      <c r="S89" s="2">
        <v>0.61805555555555558</v>
      </c>
      <c r="T89" t="s">
        <v>7</v>
      </c>
      <c r="U89" t="s">
        <v>251</v>
      </c>
      <c r="V89" t="s">
        <v>8</v>
      </c>
      <c r="X89" t="s">
        <v>200</v>
      </c>
      <c r="Y89" t="s">
        <v>210</v>
      </c>
      <c r="Z89">
        <v>1</v>
      </c>
      <c r="AA89">
        <v>4</v>
      </c>
      <c r="AB89" t="s">
        <v>11</v>
      </c>
      <c r="AC89" t="s">
        <v>12</v>
      </c>
      <c r="AD89" t="s">
        <v>20</v>
      </c>
      <c r="AE89" t="s">
        <v>14</v>
      </c>
      <c r="AF89" s="1">
        <v>23679</v>
      </c>
      <c r="AG89">
        <f t="shared" ca="1" si="5"/>
        <v>61</v>
      </c>
    </row>
    <row r="90" spans="1:33" x14ac:dyDescent="0.2">
      <c r="A90" s="1">
        <v>46050</v>
      </c>
      <c r="B90" t="str">
        <f t="shared" si="3"/>
        <v>mercredi</v>
      </c>
      <c r="C90" t="str">
        <f t="shared" si="4"/>
        <v>Jour</v>
      </c>
      <c r="D90">
        <v>1475608</v>
      </c>
      <c r="E90">
        <v>2607054</v>
      </c>
      <c r="F90" t="s">
        <v>15</v>
      </c>
      <c r="G90" t="s">
        <v>1</v>
      </c>
      <c r="H90" t="s">
        <v>103</v>
      </c>
      <c r="I90" t="s">
        <v>41</v>
      </c>
      <c r="J90" t="s">
        <v>256</v>
      </c>
      <c r="K90">
        <v>60709</v>
      </c>
      <c r="L90" t="s">
        <v>61</v>
      </c>
      <c r="M90" t="s">
        <v>195</v>
      </c>
      <c r="N90" s="2">
        <v>0.53055555555555556</v>
      </c>
      <c r="O90" s="2">
        <v>0.53125</v>
      </c>
      <c r="P90" s="2">
        <v>0.53333333333333333</v>
      </c>
      <c r="Q90" s="2">
        <v>0.5541666666666667</v>
      </c>
      <c r="R90" s="2">
        <v>0.55902777777777779</v>
      </c>
      <c r="S90" s="2">
        <v>0.58333333333333337</v>
      </c>
      <c r="T90" t="s">
        <v>7</v>
      </c>
      <c r="U90" t="s">
        <v>32</v>
      </c>
      <c r="V90" t="s">
        <v>8</v>
      </c>
      <c r="X90" t="s">
        <v>100</v>
      </c>
      <c r="Y90" t="s">
        <v>217</v>
      </c>
      <c r="Z90">
        <v>1</v>
      </c>
      <c r="AA90">
        <v>4</v>
      </c>
      <c r="AB90" t="s">
        <v>11</v>
      </c>
      <c r="AC90" t="s">
        <v>12</v>
      </c>
      <c r="AD90" t="s">
        <v>36</v>
      </c>
      <c r="AE90" t="s">
        <v>14</v>
      </c>
      <c r="AF90" s="1">
        <v>37379</v>
      </c>
      <c r="AG90">
        <f t="shared" ca="1" si="5"/>
        <v>23</v>
      </c>
    </row>
    <row r="91" spans="1:33" x14ac:dyDescent="0.2">
      <c r="A91" s="1">
        <v>46050</v>
      </c>
      <c r="B91" t="str">
        <f t="shared" si="3"/>
        <v>mercredi</v>
      </c>
      <c r="C91" t="str">
        <f t="shared" si="4"/>
        <v>Jour</v>
      </c>
      <c r="D91">
        <v>1475607</v>
      </c>
      <c r="E91">
        <v>2606997</v>
      </c>
      <c r="F91" t="s">
        <v>15</v>
      </c>
      <c r="G91" t="s">
        <v>1</v>
      </c>
      <c r="H91" t="s">
        <v>41</v>
      </c>
      <c r="I91" t="s">
        <v>103</v>
      </c>
      <c r="J91" t="s">
        <v>4</v>
      </c>
      <c r="K91">
        <v>60709</v>
      </c>
      <c r="L91" t="s">
        <v>5</v>
      </c>
      <c r="M91" t="s">
        <v>204</v>
      </c>
      <c r="N91" s="2">
        <v>0.38124999999999998</v>
      </c>
      <c r="O91" s="2">
        <v>0.38124999999999998</v>
      </c>
      <c r="P91" s="2">
        <v>0.38263888888888886</v>
      </c>
      <c r="Q91" s="2">
        <v>0.4</v>
      </c>
      <c r="R91" s="2">
        <v>0.40625</v>
      </c>
      <c r="S91" s="2">
        <v>0.42708333333333331</v>
      </c>
      <c r="T91" t="s">
        <v>7</v>
      </c>
      <c r="U91" t="s">
        <v>32</v>
      </c>
      <c r="V91" t="s">
        <v>8</v>
      </c>
      <c r="X91" t="s">
        <v>190</v>
      </c>
      <c r="Y91" t="s">
        <v>191</v>
      </c>
      <c r="Z91">
        <v>1</v>
      </c>
      <c r="AA91">
        <v>4</v>
      </c>
      <c r="AB91" t="s">
        <v>11</v>
      </c>
      <c r="AC91" t="s">
        <v>12</v>
      </c>
      <c r="AD91" t="s">
        <v>212</v>
      </c>
      <c r="AE91" t="s">
        <v>14</v>
      </c>
      <c r="AF91" s="1">
        <v>15773</v>
      </c>
      <c r="AG91">
        <f t="shared" ca="1" si="5"/>
        <v>82</v>
      </c>
    </row>
    <row r="92" spans="1:33" x14ac:dyDescent="0.2">
      <c r="A92" s="1">
        <v>46050</v>
      </c>
      <c r="B92" t="str">
        <f t="shared" si="3"/>
        <v>mercredi</v>
      </c>
      <c r="C92" t="str">
        <f t="shared" si="4"/>
        <v>Jour</v>
      </c>
      <c r="D92">
        <v>1475606</v>
      </c>
      <c r="E92">
        <v>2606984</v>
      </c>
      <c r="F92" t="s">
        <v>15</v>
      </c>
      <c r="G92" t="s">
        <v>16</v>
      </c>
      <c r="H92" t="s">
        <v>41</v>
      </c>
      <c r="I92" t="s">
        <v>103</v>
      </c>
      <c r="J92" t="s">
        <v>256</v>
      </c>
      <c r="K92">
        <v>60709</v>
      </c>
      <c r="L92" t="s">
        <v>5</v>
      </c>
      <c r="M92" t="s">
        <v>6</v>
      </c>
      <c r="N92" s="2">
        <v>0.33333333333333331</v>
      </c>
      <c r="O92" s="2">
        <v>0.3347222222222222</v>
      </c>
      <c r="P92" s="2">
        <v>0.34375</v>
      </c>
      <c r="Q92" s="2">
        <v>0.36041666666666666</v>
      </c>
      <c r="R92" s="2">
        <v>0.36458333333333331</v>
      </c>
      <c r="S92" s="2">
        <v>0.38194444444444442</v>
      </c>
      <c r="T92" t="s">
        <v>52</v>
      </c>
      <c r="U92" t="s">
        <v>265</v>
      </c>
      <c r="V92" t="s">
        <v>24</v>
      </c>
      <c r="X92" t="s">
        <v>110</v>
      </c>
      <c r="Y92" t="s">
        <v>223</v>
      </c>
      <c r="Z92">
        <v>3</v>
      </c>
      <c r="AA92">
        <v>2</v>
      </c>
      <c r="AB92" t="s">
        <v>11</v>
      </c>
      <c r="AC92" t="s">
        <v>28</v>
      </c>
      <c r="AD92" t="s">
        <v>44</v>
      </c>
      <c r="AE92" t="s">
        <v>14</v>
      </c>
      <c r="AF92" s="1">
        <v>35762</v>
      </c>
      <c r="AG92">
        <f t="shared" ca="1" si="5"/>
        <v>28</v>
      </c>
    </row>
    <row r="93" spans="1:33" x14ac:dyDescent="0.2">
      <c r="A93" s="1">
        <v>46050</v>
      </c>
      <c r="B93" t="str">
        <f t="shared" si="3"/>
        <v>mercredi</v>
      </c>
      <c r="C93" t="str">
        <f t="shared" si="4"/>
        <v>Nuit</v>
      </c>
      <c r="D93">
        <v>1510807</v>
      </c>
      <c r="E93">
        <v>2606937</v>
      </c>
      <c r="F93" t="s">
        <v>0</v>
      </c>
      <c r="G93" t="s">
        <v>1</v>
      </c>
      <c r="H93" t="s">
        <v>203</v>
      </c>
      <c r="I93" t="s">
        <v>3</v>
      </c>
      <c r="J93" t="s">
        <v>4</v>
      </c>
      <c r="K93">
        <v>60707</v>
      </c>
      <c r="L93" t="s">
        <v>5</v>
      </c>
      <c r="M93" t="s">
        <v>6</v>
      </c>
      <c r="N93" s="2">
        <v>0.98611111111111116</v>
      </c>
      <c r="O93" s="2">
        <v>0.98750000000000004</v>
      </c>
      <c r="P93" s="2">
        <v>0.99027777777777781</v>
      </c>
      <c r="Q93" s="2">
        <v>4.8611111111111112E-3</v>
      </c>
      <c r="R93" s="2">
        <v>1.8055555555555554E-2</v>
      </c>
      <c r="S93" s="2">
        <v>4.1666666666666664E-2</v>
      </c>
      <c r="T93" t="s">
        <v>7</v>
      </c>
      <c r="U93" t="s">
        <v>65</v>
      </c>
      <c r="V93" t="s">
        <v>8</v>
      </c>
      <c r="X93" t="s">
        <v>9</v>
      </c>
      <c r="Y93" t="s">
        <v>10</v>
      </c>
      <c r="Z93">
        <v>2</v>
      </c>
      <c r="AA93">
        <v>2</v>
      </c>
      <c r="AB93" t="s">
        <v>11</v>
      </c>
      <c r="AC93" t="s">
        <v>12</v>
      </c>
      <c r="AD93" t="s">
        <v>20</v>
      </c>
      <c r="AE93" t="s">
        <v>29</v>
      </c>
      <c r="AF93" s="1">
        <v>23192</v>
      </c>
      <c r="AG93">
        <f t="shared" ca="1" si="5"/>
        <v>62</v>
      </c>
    </row>
    <row r="94" spans="1:33" x14ac:dyDescent="0.2">
      <c r="A94" s="1">
        <v>46050</v>
      </c>
      <c r="B94" t="str">
        <f t="shared" si="3"/>
        <v>mercredi</v>
      </c>
      <c r="C94" t="str">
        <f t="shared" si="4"/>
        <v>Jour</v>
      </c>
      <c r="D94">
        <v>1494495</v>
      </c>
      <c r="E94">
        <v>2606854</v>
      </c>
      <c r="F94" t="s">
        <v>56</v>
      </c>
      <c r="G94" t="s">
        <v>1</v>
      </c>
      <c r="H94" t="s">
        <v>202</v>
      </c>
      <c r="I94" t="s">
        <v>23</v>
      </c>
      <c r="J94" t="s">
        <v>4</v>
      </c>
      <c r="K94">
        <v>60708</v>
      </c>
      <c r="L94" t="s">
        <v>5</v>
      </c>
      <c r="M94" t="s">
        <v>6</v>
      </c>
      <c r="N94" s="2">
        <v>0.74722222222222223</v>
      </c>
      <c r="O94" s="2">
        <v>0.74861111111111112</v>
      </c>
      <c r="P94" s="2">
        <v>0.75069444444444444</v>
      </c>
      <c r="Q94" s="2">
        <v>0.77569444444444446</v>
      </c>
      <c r="R94" s="2">
        <v>0.78680555555555554</v>
      </c>
      <c r="S94" s="2">
        <v>0.81111111111111112</v>
      </c>
      <c r="T94" t="s">
        <v>43</v>
      </c>
      <c r="U94" t="s">
        <v>32</v>
      </c>
      <c r="V94" t="s">
        <v>8</v>
      </c>
      <c r="X94" t="s">
        <v>74</v>
      </c>
      <c r="Y94" t="s">
        <v>75</v>
      </c>
      <c r="Z94">
        <v>3</v>
      </c>
      <c r="AA94">
        <v>2</v>
      </c>
      <c r="AB94" t="s">
        <v>11</v>
      </c>
      <c r="AC94" t="s">
        <v>28</v>
      </c>
      <c r="AD94" t="s">
        <v>20</v>
      </c>
      <c r="AE94" t="s">
        <v>29</v>
      </c>
      <c r="AF94" s="1">
        <v>40043</v>
      </c>
      <c r="AG94">
        <f t="shared" ca="1" si="5"/>
        <v>16</v>
      </c>
    </row>
    <row r="95" spans="1:33" x14ac:dyDescent="0.2">
      <c r="A95" s="1">
        <v>46050</v>
      </c>
      <c r="B95" t="str">
        <f t="shared" si="3"/>
        <v>mercredi</v>
      </c>
      <c r="C95" t="str">
        <f t="shared" si="4"/>
        <v>Nuit</v>
      </c>
      <c r="D95">
        <v>1510970</v>
      </c>
      <c r="E95">
        <v>2606967</v>
      </c>
      <c r="F95" t="s">
        <v>21</v>
      </c>
      <c r="G95" t="s">
        <v>16</v>
      </c>
      <c r="H95" t="s">
        <v>23</v>
      </c>
      <c r="I95" t="s">
        <v>22</v>
      </c>
      <c r="J95" t="s">
        <v>4</v>
      </c>
      <c r="K95">
        <v>60704</v>
      </c>
      <c r="L95" t="s">
        <v>5</v>
      </c>
      <c r="M95" t="s">
        <v>6</v>
      </c>
      <c r="N95" s="2">
        <v>0.27430555555555558</v>
      </c>
      <c r="O95" s="2">
        <v>0.27500000000000002</v>
      </c>
      <c r="P95" s="2">
        <v>0.27916666666666667</v>
      </c>
      <c r="Q95" s="2">
        <v>0.29722222222222222</v>
      </c>
      <c r="R95" s="2">
        <v>0.30208333333333331</v>
      </c>
      <c r="S95" s="2">
        <v>0.31736111111111109</v>
      </c>
      <c r="T95" t="s">
        <v>7</v>
      </c>
      <c r="U95" t="s">
        <v>251</v>
      </c>
      <c r="V95" t="s">
        <v>24</v>
      </c>
      <c r="X95" t="s">
        <v>252</v>
      </c>
      <c r="Y95" t="s">
        <v>48</v>
      </c>
      <c r="Z95">
        <v>2</v>
      </c>
      <c r="AA95">
        <v>2</v>
      </c>
      <c r="AB95" t="s">
        <v>11</v>
      </c>
      <c r="AC95" t="s">
        <v>12</v>
      </c>
      <c r="AD95" t="s">
        <v>20</v>
      </c>
      <c r="AE95" t="s">
        <v>14</v>
      </c>
      <c r="AF95" s="1">
        <v>31475</v>
      </c>
      <c r="AG95">
        <f t="shared" ca="1" si="5"/>
        <v>39</v>
      </c>
    </row>
    <row r="96" spans="1:33" x14ac:dyDescent="0.2">
      <c r="A96" s="1">
        <v>46050</v>
      </c>
      <c r="B96" t="str">
        <f t="shared" si="3"/>
        <v>mercredi</v>
      </c>
      <c r="C96" t="str">
        <f t="shared" si="4"/>
        <v>Nuit</v>
      </c>
      <c r="D96">
        <v>1494477</v>
      </c>
      <c r="E96">
        <v>2605917</v>
      </c>
      <c r="F96" t="s">
        <v>0</v>
      </c>
      <c r="G96" t="s">
        <v>1</v>
      </c>
      <c r="H96" t="s">
        <v>23</v>
      </c>
      <c r="I96" t="s">
        <v>111</v>
      </c>
      <c r="J96" t="s">
        <v>4</v>
      </c>
      <c r="K96">
        <v>60708</v>
      </c>
      <c r="L96" t="s">
        <v>5</v>
      </c>
      <c r="M96" t="s">
        <v>6</v>
      </c>
      <c r="N96" s="2">
        <v>0.93472222222222223</v>
      </c>
      <c r="O96" s="2">
        <v>0.93194444444444446</v>
      </c>
      <c r="P96" s="2">
        <v>0.93402777777777779</v>
      </c>
      <c r="Q96" s="2">
        <v>0.9506944444444444</v>
      </c>
      <c r="R96" s="2">
        <v>0.95277777777777772</v>
      </c>
      <c r="S96" s="2">
        <v>0.97430555555555554</v>
      </c>
      <c r="T96" t="s">
        <v>38</v>
      </c>
      <c r="U96" t="s">
        <v>32</v>
      </c>
      <c r="V96" t="s">
        <v>8</v>
      </c>
      <c r="X96" t="s">
        <v>192</v>
      </c>
      <c r="Y96" t="s">
        <v>193</v>
      </c>
      <c r="Z96">
        <v>2</v>
      </c>
      <c r="AA96">
        <v>4</v>
      </c>
      <c r="AB96" t="s">
        <v>11</v>
      </c>
      <c r="AC96" t="s">
        <v>28</v>
      </c>
      <c r="AD96" t="s">
        <v>20</v>
      </c>
      <c r="AE96" t="s">
        <v>29</v>
      </c>
      <c r="AF96" s="1">
        <v>11011</v>
      </c>
      <c r="AG96">
        <f t="shared" ca="1" si="5"/>
        <v>95</v>
      </c>
    </row>
    <row r="97" spans="1:33" x14ac:dyDescent="0.2">
      <c r="A97" s="1">
        <v>46050</v>
      </c>
      <c r="B97" t="str">
        <f t="shared" si="3"/>
        <v>mercredi</v>
      </c>
      <c r="C97" t="str">
        <f t="shared" si="4"/>
        <v>Nuit</v>
      </c>
      <c r="D97">
        <v>1494479</v>
      </c>
      <c r="E97">
        <v>2605938</v>
      </c>
      <c r="F97" t="s">
        <v>0</v>
      </c>
      <c r="G97" t="s">
        <v>16</v>
      </c>
      <c r="H97" t="s">
        <v>23</v>
      </c>
      <c r="I97" t="s">
        <v>22</v>
      </c>
      <c r="J97" t="s">
        <v>4</v>
      </c>
      <c r="K97">
        <v>60708</v>
      </c>
      <c r="L97" t="s">
        <v>5</v>
      </c>
      <c r="M97" t="s">
        <v>6</v>
      </c>
      <c r="N97" s="2">
        <v>4.3749999999999997E-2</v>
      </c>
      <c r="O97" s="2">
        <v>4.5138888888888888E-2</v>
      </c>
      <c r="P97" s="2">
        <v>4.9305555555555554E-2</v>
      </c>
      <c r="Q97" s="2">
        <v>7.8472222222222221E-2</v>
      </c>
      <c r="R97" s="2">
        <v>9.0277777777777776E-2</v>
      </c>
      <c r="S97" s="2">
        <v>0.1111111111111111</v>
      </c>
      <c r="T97" t="s">
        <v>7</v>
      </c>
      <c r="U97" t="s">
        <v>32</v>
      </c>
      <c r="V97" t="s">
        <v>8</v>
      </c>
      <c r="X97" t="s">
        <v>66</v>
      </c>
      <c r="Y97" t="s">
        <v>112</v>
      </c>
      <c r="Z97">
        <v>3</v>
      </c>
      <c r="AA97">
        <v>3</v>
      </c>
      <c r="AB97" t="s">
        <v>11</v>
      </c>
      <c r="AC97" t="s">
        <v>12</v>
      </c>
      <c r="AD97" t="s">
        <v>113</v>
      </c>
      <c r="AE97" t="s">
        <v>14</v>
      </c>
      <c r="AF97" s="1">
        <v>39274</v>
      </c>
      <c r="AG97">
        <f t="shared" ca="1" si="5"/>
        <v>18</v>
      </c>
    </row>
    <row r="98" spans="1:33" x14ac:dyDescent="0.2">
      <c r="A98" s="1">
        <v>46050</v>
      </c>
      <c r="B98" t="str">
        <f t="shared" si="3"/>
        <v>mercredi</v>
      </c>
      <c r="C98" t="str">
        <f t="shared" si="4"/>
        <v>Jour</v>
      </c>
      <c r="D98">
        <v>1475605</v>
      </c>
      <c r="E98">
        <v>2606847</v>
      </c>
      <c r="F98" t="s">
        <v>15</v>
      </c>
      <c r="G98" t="s">
        <v>1</v>
      </c>
      <c r="H98" t="s">
        <v>103</v>
      </c>
      <c r="I98" t="s">
        <v>213</v>
      </c>
      <c r="J98" t="s">
        <v>256</v>
      </c>
      <c r="K98">
        <v>60709</v>
      </c>
      <c r="L98" t="s">
        <v>5</v>
      </c>
      <c r="M98" t="s">
        <v>6</v>
      </c>
      <c r="N98" s="2">
        <v>0.72083333333333333</v>
      </c>
      <c r="O98" s="2">
        <v>0.72152777777777777</v>
      </c>
      <c r="P98" s="2">
        <v>0.72430555555555554</v>
      </c>
      <c r="Q98" s="2">
        <v>0.75</v>
      </c>
      <c r="R98" s="2">
        <v>0.75763888888888886</v>
      </c>
      <c r="S98" s="2">
        <v>0.79166666666666663</v>
      </c>
      <c r="T98" t="s">
        <v>7</v>
      </c>
      <c r="U98" t="s">
        <v>32</v>
      </c>
      <c r="V98" t="s">
        <v>8</v>
      </c>
      <c r="X98" t="s">
        <v>214</v>
      </c>
      <c r="Y98" t="s">
        <v>215</v>
      </c>
      <c r="Z98">
        <v>1</v>
      </c>
      <c r="AA98">
        <v>4</v>
      </c>
      <c r="AB98" t="s">
        <v>11</v>
      </c>
      <c r="AC98" t="s">
        <v>12</v>
      </c>
      <c r="AD98" t="s">
        <v>20</v>
      </c>
      <c r="AE98" t="s">
        <v>29</v>
      </c>
      <c r="AF98" s="1">
        <v>12903</v>
      </c>
      <c r="AG98">
        <f t="shared" ca="1" si="5"/>
        <v>90</v>
      </c>
    </row>
    <row r="99" spans="1:33" x14ac:dyDescent="0.2">
      <c r="A99" s="1">
        <v>46049</v>
      </c>
      <c r="B99" t="str">
        <f t="shared" si="3"/>
        <v>mardi</v>
      </c>
      <c r="C99" t="str">
        <f t="shared" si="4"/>
        <v>Nuit</v>
      </c>
      <c r="D99">
        <v>1510969</v>
      </c>
      <c r="E99">
        <v>2606932</v>
      </c>
      <c r="F99" t="s">
        <v>0</v>
      </c>
      <c r="G99" t="s">
        <v>1</v>
      </c>
      <c r="H99" t="s">
        <v>111</v>
      </c>
      <c r="I99" t="s">
        <v>26</v>
      </c>
      <c r="J99" t="s">
        <v>4</v>
      </c>
      <c r="K99">
        <v>60704</v>
      </c>
      <c r="L99" t="s">
        <v>5</v>
      </c>
      <c r="M99" t="s">
        <v>6</v>
      </c>
      <c r="N99" s="2">
        <v>0.96111111111111114</v>
      </c>
      <c r="O99" s="2">
        <v>0.96111111111111114</v>
      </c>
      <c r="P99" s="2">
        <v>0.96319444444444446</v>
      </c>
      <c r="Q99" s="2">
        <v>0.98611111111111116</v>
      </c>
      <c r="R99" s="2">
        <v>0.98958333333333337</v>
      </c>
      <c r="S99" s="2">
        <v>2.0833333333333332E-2</v>
      </c>
      <c r="T99" t="s">
        <v>7</v>
      </c>
      <c r="U99" t="s">
        <v>251</v>
      </c>
      <c r="V99" t="s">
        <v>8</v>
      </c>
      <c r="X99" t="s">
        <v>190</v>
      </c>
      <c r="Y99" t="s">
        <v>191</v>
      </c>
      <c r="Z99">
        <v>2</v>
      </c>
      <c r="AA99">
        <v>4</v>
      </c>
      <c r="AB99" t="s">
        <v>11</v>
      </c>
      <c r="AC99" t="s">
        <v>12</v>
      </c>
      <c r="AD99" t="s">
        <v>212</v>
      </c>
      <c r="AE99" t="s">
        <v>14</v>
      </c>
      <c r="AF99" s="1">
        <v>32863</v>
      </c>
      <c r="AG99">
        <f t="shared" ca="1" si="5"/>
        <v>36</v>
      </c>
    </row>
    <row r="100" spans="1:33" x14ac:dyDescent="0.2">
      <c r="A100" s="1">
        <v>46049</v>
      </c>
      <c r="B100" t="str">
        <f t="shared" si="3"/>
        <v>mardi</v>
      </c>
      <c r="C100" t="str">
        <f t="shared" si="4"/>
        <v>Nuit</v>
      </c>
      <c r="D100">
        <v>1510968</v>
      </c>
      <c r="E100">
        <v>2606922</v>
      </c>
      <c r="F100" t="s">
        <v>45</v>
      </c>
      <c r="G100" t="s">
        <v>1</v>
      </c>
      <c r="H100" t="s">
        <v>26</v>
      </c>
      <c r="I100" t="s">
        <v>111</v>
      </c>
      <c r="J100" t="s">
        <v>4</v>
      </c>
      <c r="K100">
        <v>60704</v>
      </c>
      <c r="L100" t="s">
        <v>5</v>
      </c>
      <c r="M100" t="s">
        <v>6</v>
      </c>
      <c r="N100" s="2">
        <v>0.91249999999999998</v>
      </c>
      <c r="O100" s="2">
        <v>0.91388888888888886</v>
      </c>
      <c r="P100" s="2">
        <v>0.91736111111111107</v>
      </c>
      <c r="Q100" s="2">
        <v>0.93333333333333335</v>
      </c>
      <c r="R100" s="2">
        <v>0.94097222222222221</v>
      </c>
      <c r="S100" s="2">
        <v>0.95833333333333337</v>
      </c>
      <c r="T100" t="s">
        <v>7</v>
      </c>
      <c r="U100" t="s">
        <v>265</v>
      </c>
      <c r="V100" t="s">
        <v>8</v>
      </c>
      <c r="X100" t="s">
        <v>190</v>
      </c>
      <c r="Y100" t="s">
        <v>187</v>
      </c>
      <c r="Z100" t="s">
        <v>188</v>
      </c>
      <c r="AA100">
        <v>2</v>
      </c>
      <c r="AB100" t="s">
        <v>11</v>
      </c>
      <c r="AC100" t="s">
        <v>12</v>
      </c>
      <c r="AD100" t="s">
        <v>20</v>
      </c>
      <c r="AE100" t="s">
        <v>14</v>
      </c>
      <c r="AF100" s="1">
        <v>44959</v>
      </c>
      <c r="AG100">
        <f t="shared" ca="1" si="5"/>
        <v>3</v>
      </c>
    </row>
    <row r="101" spans="1:33" x14ac:dyDescent="0.2">
      <c r="A101" s="1">
        <v>46049</v>
      </c>
      <c r="B101" t="str">
        <f t="shared" si="3"/>
        <v>mardi</v>
      </c>
      <c r="C101" t="str">
        <f t="shared" si="4"/>
        <v>Jour</v>
      </c>
      <c r="D101">
        <v>1500002</v>
      </c>
      <c r="E101">
        <v>2606870</v>
      </c>
      <c r="F101" t="s">
        <v>0</v>
      </c>
      <c r="G101" t="s">
        <v>1</v>
      </c>
      <c r="H101" t="s">
        <v>111</v>
      </c>
      <c r="I101" t="s">
        <v>26</v>
      </c>
      <c r="J101" t="s">
        <v>4</v>
      </c>
      <c r="K101">
        <v>60705</v>
      </c>
      <c r="L101" t="s">
        <v>5</v>
      </c>
      <c r="M101" t="s">
        <v>6</v>
      </c>
      <c r="N101" s="2">
        <v>0.79236111111111107</v>
      </c>
      <c r="O101" s="2">
        <v>0.79374999999999996</v>
      </c>
      <c r="P101" s="2">
        <v>0.79861111111111116</v>
      </c>
      <c r="Q101" s="2">
        <v>0.81388888888888888</v>
      </c>
      <c r="R101" s="2">
        <v>0.81874999999999998</v>
      </c>
      <c r="S101" s="2">
        <v>0.85972222222222228</v>
      </c>
      <c r="T101" t="s">
        <v>43</v>
      </c>
      <c r="U101" t="s">
        <v>251</v>
      </c>
      <c r="V101" t="s">
        <v>8</v>
      </c>
      <c r="X101" t="s">
        <v>200</v>
      </c>
      <c r="Y101" t="s">
        <v>210</v>
      </c>
      <c r="Z101">
        <v>1</v>
      </c>
      <c r="AA101">
        <v>4</v>
      </c>
      <c r="AB101" t="s">
        <v>11</v>
      </c>
      <c r="AC101" t="s">
        <v>12</v>
      </c>
      <c r="AD101" t="s">
        <v>20</v>
      </c>
      <c r="AE101" t="s">
        <v>14</v>
      </c>
      <c r="AF101" s="1">
        <v>39839</v>
      </c>
      <c r="AG101">
        <f t="shared" ca="1" si="5"/>
        <v>17</v>
      </c>
    </row>
    <row r="102" spans="1:33" x14ac:dyDescent="0.2">
      <c r="A102" s="1">
        <v>46049</v>
      </c>
      <c r="B102" t="str">
        <f t="shared" si="3"/>
        <v>mardi</v>
      </c>
      <c r="C102" t="str">
        <f t="shared" si="4"/>
        <v>Jour</v>
      </c>
      <c r="D102">
        <v>1510804</v>
      </c>
      <c r="E102">
        <v>2606874</v>
      </c>
      <c r="F102" t="s">
        <v>0</v>
      </c>
      <c r="G102" t="s">
        <v>1</v>
      </c>
      <c r="H102" t="s">
        <v>203</v>
      </c>
      <c r="I102" t="s">
        <v>3</v>
      </c>
      <c r="J102" t="s">
        <v>4</v>
      </c>
      <c r="K102">
        <v>60707</v>
      </c>
      <c r="L102" t="s">
        <v>61</v>
      </c>
      <c r="M102" t="s">
        <v>253</v>
      </c>
      <c r="N102" s="2">
        <v>0.80763888888888891</v>
      </c>
      <c r="O102" s="2">
        <v>0.80902777777777779</v>
      </c>
      <c r="P102" s="2">
        <v>0.81666666666666665</v>
      </c>
      <c r="Q102" s="2">
        <v>0.84236111111111112</v>
      </c>
      <c r="R102" s="2">
        <v>0.84861111111111109</v>
      </c>
      <c r="S102" s="2">
        <v>0.86805555555555558</v>
      </c>
      <c r="T102" t="s">
        <v>38</v>
      </c>
      <c r="U102" t="s">
        <v>251</v>
      </c>
      <c r="V102" t="s">
        <v>8</v>
      </c>
      <c r="X102" t="s">
        <v>35</v>
      </c>
      <c r="Y102" t="s">
        <v>196</v>
      </c>
      <c r="Z102">
        <v>1</v>
      </c>
      <c r="AA102">
        <v>4</v>
      </c>
      <c r="AB102" t="s">
        <v>11</v>
      </c>
      <c r="AC102" t="s">
        <v>12</v>
      </c>
      <c r="AD102" t="s">
        <v>224</v>
      </c>
      <c r="AE102" t="s">
        <v>14</v>
      </c>
      <c r="AF102" s="1">
        <v>14161</v>
      </c>
      <c r="AG102">
        <f t="shared" ca="1" si="5"/>
        <v>87</v>
      </c>
    </row>
    <row r="103" spans="1:33" x14ac:dyDescent="0.2">
      <c r="A103" s="1">
        <v>46049</v>
      </c>
      <c r="B103" t="str">
        <f t="shared" si="3"/>
        <v>mardi</v>
      </c>
      <c r="C103" t="str">
        <f t="shared" si="4"/>
        <v>Jour</v>
      </c>
      <c r="D103">
        <v>1510803</v>
      </c>
      <c r="E103">
        <v>2606843</v>
      </c>
      <c r="F103" t="s">
        <v>25</v>
      </c>
      <c r="G103" t="s">
        <v>25</v>
      </c>
      <c r="H103" t="s">
        <v>68</v>
      </c>
      <c r="I103" t="s">
        <v>197</v>
      </c>
      <c r="J103" t="s">
        <v>4</v>
      </c>
      <c r="K103">
        <v>60707</v>
      </c>
      <c r="L103" t="s">
        <v>5</v>
      </c>
      <c r="M103" t="s">
        <v>6</v>
      </c>
      <c r="N103" s="2">
        <v>0.70347222222222228</v>
      </c>
      <c r="O103" s="2">
        <v>0.70972222222222225</v>
      </c>
      <c r="P103" s="2">
        <v>0.72013888888888888</v>
      </c>
      <c r="Q103" s="2">
        <v>0.72777777777777775</v>
      </c>
      <c r="R103" s="2">
        <v>0.73958333333333337</v>
      </c>
      <c r="S103" s="2">
        <v>0.75</v>
      </c>
      <c r="T103" t="s">
        <v>24</v>
      </c>
      <c r="U103" t="s">
        <v>251</v>
      </c>
      <c r="V103" t="s">
        <v>8</v>
      </c>
      <c r="X103" t="s">
        <v>33</v>
      </c>
      <c r="Y103" t="s">
        <v>34</v>
      </c>
      <c r="Z103">
        <v>3</v>
      </c>
      <c r="AA103">
        <v>3</v>
      </c>
      <c r="AB103" t="s">
        <v>11</v>
      </c>
      <c r="AC103" t="s">
        <v>12</v>
      </c>
      <c r="AD103" t="s">
        <v>20</v>
      </c>
      <c r="AE103" t="s">
        <v>29</v>
      </c>
      <c r="AF103" s="1">
        <v>28748</v>
      </c>
      <c r="AG103">
        <f t="shared" ca="1" si="5"/>
        <v>47</v>
      </c>
    </row>
    <row r="104" spans="1:33" x14ac:dyDescent="0.2">
      <c r="A104" s="1">
        <v>46049</v>
      </c>
      <c r="B104" t="str">
        <f t="shared" si="3"/>
        <v>mardi</v>
      </c>
      <c r="C104" t="str">
        <f t="shared" si="4"/>
        <v>Jour</v>
      </c>
      <c r="D104">
        <v>1510963</v>
      </c>
      <c r="E104">
        <v>2606734</v>
      </c>
      <c r="F104" t="s">
        <v>21</v>
      </c>
      <c r="G104" t="s">
        <v>1</v>
      </c>
      <c r="H104" t="s">
        <v>98</v>
      </c>
      <c r="I104" t="s">
        <v>99</v>
      </c>
      <c r="J104" t="s">
        <v>4</v>
      </c>
      <c r="K104">
        <v>60704</v>
      </c>
      <c r="L104" t="s">
        <v>61</v>
      </c>
      <c r="M104" t="s">
        <v>195</v>
      </c>
      <c r="N104" s="2">
        <v>0.43541666666666667</v>
      </c>
      <c r="O104" s="2">
        <v>0.43819444444444444</v>
      </c>
      <c r="P104" s="2">
        <v>0.44444444444444442</v>
      </c>
      <c r="S104" s="2">
        <v>0.46041666666666664</v>
      </c>
      <c r="T104" t="s">
        <v>87</v>
      </c>
      <c r="U104" t="s">
        <v>18</v>
      </c>
      <c r="V104" t="s">
        <v>225</v>
      </c>
      <c r="X104" t="s">
        <v>226</v>
      </c>
      <c r="Y104" t="s">
        <v>187</v>
      </c>
      <c r="Z104" t="s">
        <v>73</v>
      </c>
      <c r="AA104">
        <v>9</v>
      </c>
      <c r="AB104" t="s">
        <v>11</v>
      </c>
      <c r="AC104" t="s">
        <v>73</v>
      </c>
      <c r="AD104" t="s">
        <v>20</v>
      </c>
      <c r="AG104">
        <f t="shared" ca="1" si="5"/>
        <v>126</v>
      </c>
    </row>
    <row r="105" spans="1:33" x14ac:dyDescent="0.2">
      <c r="A105" s="1">
        <v>46049</v>
      </c>
      <c r="B105" t="str">
        <f t="shared" si="3"/>
        <v>mardi</v>
      </c>
      <c r="C105" t="str">
        <f t="shared" si="4"/>
        <v>Jour</v>
      </c>
      <c r="D105">
        <v>1494494</v>
      </c>
      <c r="E105">
        <v>2606817</v>
      </c>
      <c r="F105" t="s">
        <v>56</v>
      </c>
      <c r="G105" t="s">
        <v>16</v>
      </c>
      <c r="H105" t="s">
        <v>23</v>
      </c>
      <c r="I105" t="s">
        <v>202</v>
      </c>
      <c r="J105" t="s">
        <v>4</v>
      </c>
      <c r="K105">
        <v>60708</v>
      </c>
      <c r="L105" t="s">
        <v>5</v>
      </c>
      <c r="M105" t="s">
        <v>6</v>
      </c>
      <c r="N105" s="2">
        <v>0.65902777777777777</v>
      </c>
      <c r="O105" s="2">
        <v>0.66249999999999998</v>
      </c>
      <c r="P105" s="2">
        <v>0.67500000000000004</v>
      </c>
      <c r="Q105" s="2">
        <v>0.68472222222222223</v>
      </c>
      <c r="R105" s="2">
        <v>0.69374999999999998</v>
      </c>
      <c r="S105" s="2">
        <v>0.70902777777777781</v>
      </c>
      <c r="T105" t="s">
        <v>7</v>
      </c>
      <c r="U105" t="s">
        <v>102</v>
      </c>
      <c r="V105" t="s">
        <v>8</v>
      </c>
      <c r="X105" t="s">
        <v>214</v>
      </c>
      <c r="Y105" t="s">
        <v>215</v>
      </c>
      <c r="Z105">
        <v>1</v>
      </c>
      <c r="AA105">
        <v>4</v>
      </c>
      <c r="AB105" t="s">
        <v>11</v>
      </c>
      <c r="AC105" t="s">
        <v>12</v>
      </c>
      <c r="AD105" t="s">
        <v>36</v>
      </c>
      <c r="AF105" s="1">
        <v>15550</v>
      </c>
      <c r="AG105">
        <f t="shared" ca="1" si="5"/>
        <v>83</v>
      </c>
    </row>
    <row r="106" spans="1:33" x14ac:dyDescent="0.2">
      <c r="A106" s="1">
        <v>46049</v>
      </c>
      <c r="B106" t="str">
        <f t="shared" si="3"/>
        <v>mardi</v>
      </c>
      <c r="C106" t="str">
        <f t="shared" si="4"/>
        <v>Jour</v>
      </c>
      <c r="D106">
        <v>1510964</v>
      </c>
      <c r="E106">
        <v>2606742</v>
      </c>
      <c r="F106" t="s">
        <v>21</v>
      </c>
      <c r="G106" t="s">
        <v>1</v>
      </c>
      <c r="H106" t="s">
        <v>98</v>
      </c>
      <c r="I106" t="s">
        <v>99</v>
      </c>
      <c r="J106" t="s">
        <v>4</v>
      </c>
      <c r="K106">
        <v>60704</v>
      </c>
      <c r="L106" t="s">
        <v>227</v>
      </c>
      <c r="M106" t="s">
        <v>228</v>
      </c>
      <c r="N106" s="2">
        <v>0.47430555555555554</v>
      </c>
      <c r="O106" s="2">
        <v>0.47638888888888886</v>
      </c>
      <c r="P106" s="2">
        <v>0.4861111111111111</v>
      </c>
      <c r="Q106" s="2">
        <v>0.49722222222222223</v>
      </c>
      <c r="R106" s="2">
        <v>0.52013888888888893</v>
      </c>
      <c r="S106" s="2">
        <v>0.54166666666666663</v>
      </c>
      <c r="T106" t="s">
        <v>43</v>
      </c>
      <c r="U106" t="s">
        <v>114</v>
      </c>
      <c r="V106" t="s">
        <v>8</v>
      </c>
      <c r="X106" t="s">
        <v>110</v>
      </c>
      <c r="Y106" t="s">
        <v>223</v>
      </c>
      <c r="Z106">
        <v>2</v>
      </c>
      <c r="AA106">
        <v>3</v>
      </c>
      <c r="AB106" t="s">
        <v>11</v>
      </c>
      <c r="AC106" t="s">
        <v>28</v>
      </c>
      <c r="AD106" t="s">
        <v>44</v>
      </c>
      <c r="AE106" t="s">
        <v>29</v>
      </c>
      <c r="AF106" s="1">
        <v>34484</v>
      </c>
      <c r="AG106">
        <f t="shared" ca="1" si="5"/>
        <v>31</v>
      </c>
    </row>
    <row r="107" spans="1:33" x14ac:dyDescent="0.2">
      <c r="A107" s="1">
        <v>46049</v>
      </c>
      <c r="B107" t="str">
        <f t="shared" si="3"/>
        <v>mardi</v>
      </c>
      <c r="C107" t="str">
        <f t="shared" si="4"/>
        <v>Jour</v>
      </c>
      <c r="D107">
        <v>1494493</v>
      </c>
      <c r="E107">
        <v>2606735</v>
      </c>
      <c r="F107" t="s">
        <v>56</v>
      </c>
      <c r="G107" t="s">
        <v>1</v>
      </c>
      <c r="H107" t="s">
        <v>202</v>
      </c>
      <c r="I107" t="s">
        <v>23</v>
      </c>
      <c r="J107" t="s">
        <v>4</v>
      </c>
      <c r="K107">
        <v>60708</v>
      </c>
      <c r="L107" t="s">
        <v>61</v>
      </c>
      <c r="M107" t="s">
        <v>195</v>
      </c>
      <c r="N107" s="2">
        <v>0.43333333333333335</v>
      </c>
      <c r="O107" s="2">
        <v>0.43472222222222223</v>
      </c>
      <c r="P107" s="2">
        <v>0.43680555555555556</v>
      </c>
      <c r="Q107" s="2">
        <v>0.4597222222222222</v>
      </c>
      <c r="R107" s="2">
        <v>0.47013888888888888</v>
      </c>
      <c r="S107" s="2">
        <v>0.49027777777777776</v>
      </c>
      <c r="T107" t="s">
        <v>7</v>
      </c>
      <c r="U107" t="s">
        <v>251</v>
      </c>
      <c r="V107" t="s">
        <v>8</v>
      </c>
      <c r="X107" t="s">
        <v>252</v>
      </c>
      <c r="Y107" t="s">
        <v>48</v>
      </c>
      <c r="Z107">
        <v>2</v>
      </c>
      <c r="AA107">
        <v>2</v>
      </c>
      <c r="AB107" t="s">
        <v>11</v>
      </c>
      <c r="AC107" t="s">
        <v>12</v>
      </c>
      <c r="AD107" t="s">
        <v>20</v>
      </c>
      <c r="AE107" t="s">
        <v>29</v>
      </c>
      <c r="AF107" s="1">
        <v>10682</v>
      </c>
      <c r="AG107">
        <f t="shared" ca="1" si="5"/>
        <v>96</v>
      </c>
    </row>
    <row r="108" spans="1:33" x14ac:dyDescent="0.2">
      <c r="A108" s="1">
        <v>46049</v>
      </c>
      <c r="B108" t="str">
        <f t="shared" si="3"/>
        <v>mardi</v>
      </c>
      <c r="C108" t="str">
        <f t="shared" si="4"/>
        <v>Jour</v>
      </c>
      <c r="D108">
        <v>1510802</v>
      </c>
      <c r="E108">
        <v>2606732</v>
      </c>
      <c r="F108" t="s">
        <v>25</v>
      </c>
      <c r="G108" t="s">
        <v>91</v>
      </c>
      <c r="H108" t="s">
        <v>197</v>
      </c>
      <c r="I108" t="s">
        <v>68</v>
      </c>
      <c r="J108" t="s">
        <v>4</v>
      </c>
      <c r="K108">
        <v>60707</v>
      </c>
      <c r="L108" t="s">
        <v>5</v>
      </c>
      <c r="M108" t="s">
        <v>6</v>
      </c>
      <c r="N108" s="2">
        <v>0.51388888888888884</v>
      </c>
      <c r="O108" s="2">
        <v>0.52152777777777781</v>
      </c>
      <c r="P108" s="2">
        <v>0.52916666666666667</v>
      </c>
      <c r="Q108" s="2">
        <v>0.54236111111111107</v>
      </c>
      <c r="R108" s="2">
        <v>0.59583333333333333</v>
      </c>
      <c r="S108" s="2">
        <v>0.64583333333333337</v>
      </c>
      <c r="T108" t="s">
        <v>8</v>
      </c>
      <c r="U108" t="s">
        <v>32</v>
      </c>
      <c r="V108" t="s">
        <v>86</v>
      </c>
      <c r="X108" t="s">
        <v>33</v>
      </c>
      <c r="Y108" t="s">
        <v>34</v>
      </c>
      <c r="Z108">
        <v>3</v>
      </c>
      <c r="AA108">
        <v>3</v>
      </c>
      <c r="AB108" t="s">
        <v>11</v>
      </c>
      <c r="AC108" t="s">
        <v>12</v>
      </c>
      <c r="AD108" t="s">
        <v>20</v>
      </c>
      <c r="AE108" t="s">
        <v>29</v>
      </c>
      <c r="AF108" s="1">
        <v>11300</v>
      </c>
      <c r="AG108">
        <f t="shared" ca="1" si="5"/>
        <v>95</v>
      </c>
    </row>
    <row r="109" spans="1:33" x14ac:dyDescent="0.2">
      <c r="A109" s="1">
        <v>46049</v>
      </c>
      <c r="B109" t="str">
        <f t="shared" si="3"/>
        <v>mardi</v>
      </c>
      <c r="C109" t="str">
        <f t="shared" si="4"/>
        <v>Jour</v>
      </c>
      <c r="D109">
        <v>1475604</v>
      </c>
      <c r="E109">
        <v>2606793</v>
      </c>
      <c r="F109" t="s">
        <v>15</v>
      </c>
      <c r="G109" t="s">
        <v>92</v>
      </c>
      <c r="H109" t="s">
        <v>213</v>
      </c>
      <c r="I109" t="s">
        <v>103</v>
      </c>
      <c r="J109" t="s">
        <v>4</v>
      </c>
      <c r="K109">
        <v>60709</v>
      </c>
      <c r="L109" t="s">
        <v>5</v>
      </c>
      <c r="M109" t="s">
        <v>6</v>
      </c>
      <c r="N109" s="2">
        <v>0.58611111111111114</v>
      </c>
      <c r="O109" s="2">
        <v>0.58750000000000002</v>
      </c>
      <c r="P109" s="2">
        <v>0.59097222222222223</v>
      </c>
      <c r="Q109" s="2">
        <v>0.60416666666666663</v>
      </c>
      <c r="R109" s="2">
        <v>0.6166666666666667</v>
      </c>
      <c r="S109" s="2">
        <v>0.64583333333333337</v>
      </c>
      <c r="T109" t="s">
        <v>17</v>
      </c>
      <c r="U109" t="s">
        <v>32</v>
      </c>
      <c r="V109" t="s">
        <v>8</v>
      </c>
      <c r="X109" t="s">
        <v>190</v>
      </c>
      <c r="Y109" t="s">
        <v>191</v>
      </c>
      <c r="Z109">
        <v>2</v>
      </c>
      <c r="AA109">
        <v>3</v>
      </c>
      <c r="AB109" t="s">
        <v>11</v>
      </c>
      <c r="AC109" t="s">
        <v>12</v>
      </c>
      <c r="AD109" t="s">
        <v>212</v>
      </c>
      <c r="AE109" t="s">
        <v>29</v>
      </c>
      <c r="AF109" s="1">
        <v>23330</v>
      </c>
      <c r="AG109">
        <f t="shared" ca="1" si="5"/>
        <v>62</v>
      </c>
    </row>
    <row r="110" spans="1:33" x14ac:dyDescent="0.2">
      <c r="A110" s="1">
        <v>46049</v>
      </c>
      <c r="B110" t="str">
        <f t="shared" si="3"/>
        <v>mardi</v>
      </c>
      <c r="C110" t="str">
        <f t="shared" si="4"/>
        <v>Jour</v>
      </c>
      <c r="D110">
        <v>1510950</v>
      </c>
      <c r="E110">
        <v>2606756</v>
      </c>
      <c r="F110" t="s">
        <v>15</v>
      </c>
      <c r="G110" t="s">
        <v>16</v>
      </c>
      <c r="H110" t="s">
        <v>103</v>
      </c>
      <c r="I110" t="s">
        <v>213</v>
      </c>
      <c r="J110" t="s">
        <v>256</v>
      </c>
      <c r="K110">
        <v>60709</v>
      </c>
      <c r="L110" t="s">
        <v>5</v>
      </c>
      <c r="M110" t="s">
        <v>6</v>
      </c>
      <c r="N110" s="2">
        <v>0.48125000000000001</v>
      </c>
      <c r="O110" s="2">
        <v>0.48125000000000001</v>
      </c>
      <c r="P110" s="2">
        <v>0.49166666666666664</v>
      </c>
      <c r="Q110" s="2">
        <v>0.50416666666666665</v>
      </c>
      <c r="R110" s="2">
        <v>0.50972222222222219</v>
      </c>
      <c r="S110" s="2">
        <v>0.53472222222222221</v>
      </c>
      <c r="T110" t="s">
        <v>43</v>
      </c>
      <c r="U110" t="s">
        <v>251</v>
      </c>
      <c r="V110" t="s">
        <v>8</v>
      </c>
      <c r="X110" t="s">
        <v>200</v>
      </c>
      <c r="Y110" t="s">
        <v>51</v>
      </c>
      <c r="Z110">
        <v>3</v>
      </c>
      <c r="AA110">
        <v>3</v>
      </c>
      <c r="AB110" t="s">
        <v>11</v>
      </c>
      <c r="AC110" t="s">
        <v>12</v>
      </c>
      <c r="AD110" t="s">
        <v>20</v>
      </c>
      <c r="AE110" t="s">
        <v>29</v>
      </c>
      <c r="AF110" s="1">
        <v>32410</v>
      </c>
      <c r="AG110">
        <f t="shared" ca="1" si="5"/>
        <v>37</v>
      </c>
    </row>
    <row r="111" spans="1:33" x14ac:dyDescent="0.2">
      <c r="A111" s="1">
        <v>46049</v>
      </c>
      <c r="B111" t="str">
        <f t="shared" si="3"/>
        <v>mardi</v>
      </c>
      <c r="C111" t="str">
        <f t="shared" si="4"/>
        <v>Jour</v>
      </c>
      <c r="D111">
        <v>1510949</v>
      </c>
      <c r="E111">
        <v>2606726</v>
      </c>
      <c r="F111" t="s">
        <v>15</v>
      </c>
      <c r="G111" t="s">
        <v>16</v>
      </c>
      <c r="H111" t="s">
        <v>213</v>
      </c>
      <c r="I111" t="s">
        <v>103</v>
      </c>
      <c r="J111" t="s">
        <v>4</v>
      </c>
      <c r="K111">
        <v>60709</v>
      </c>
      <c r="L111" t="s">
        <v>5</v>
      </c>
      <c r="M111" t="s">
        <v>6</v>
      </c>
      <c r="N111" s="2">
        <v>0.42083333333333334</v>
      </c>
      <c r="O111" s="2">
        <v>0.42291666666666666</v>
      </c>
      <c r="P111" s="2">
        <v>0.42708333333333331</v>
      </c>
      <c r="Q111" s="2">
        <v>0.45833333333333331</v>
      </c>
      <c r="R111" s="2">
        <v>0.46805555555555556</v>
      </c>
      <c r="S111" s="2">
        <v>0.5</v>
      </c>
      <c r="T111" t="s">
        <v>7</v>
      </c>
      <c r="U111" t="s">
        <v>32</v>
      </c>
      <c r="V111" t="s">
        <v>8</v>
      </c>
      <c r="X111" t="s">
        <v>19</v>
      </c>
      <c r="Y111" t="s">
        <v>220</v>
      </c>
      <c r="Z111">
        <v>2</v>
      </c>
      <c r="AA111">
        <v>3</v>
      </c>
      <c r="AB111" t="s">
        <v>11</v>
      </c>
      <c r="AC111" t="s">
        <v>12</v>
      </c>
      <c r="AD111" t="s">
        <v>20</v>
      </c>
      <c r="AE111" t="s">
        <v>14</v>
      </c>
      <c r="AF111" s="1">
        <v>39351</v>
      </c>
      <c r="AG111">
        <f t="shared" ca="1" si="5"/>
        <v>18</v>
      </c>
    </row>
    <row r="112" spans="1:33" x14ac:dyDescent="0.2">
      <c r="A112" s="1">
        <v>46048</v>
      </c>
      <c r="B112" t="str">
        <f t="shared" si="3"/>
        <v>lundi</v>
      </c>
      <c r="C112" t="str">
        <f t="shared" si="4"/>
        <v>Jour</v>
      </c>
      <c r="D112">
        <v>1510947</v>
      </c>
      <c r="E112">
        <v>2606592</v>
      </c>
      <c r="F112" t="s">
        <v>15</v>
      </c>
      <c r="G112" t="s">
        <v>1</v>
      </c>
      <c r="H112" t="s">
        <v>115</v>
      </c>
      <c r="I112" t="s">
        <v>213</v>
      </c>
      <c r="J112" t="s">
        <v>4</v>
      </c>
      <c r="K112">
        <v>60709</v>
      </c>
      <c r="L112" t="s">
        <v>229</v>
      </c>
      <c r="M112" t="s">
        <v>6</v>
      </c>
      <c r="N112" s="2">
        <v>0.76666666666666672</v>
      </c>
      <c r="O112" s="2">
        <v>0.7680555555555556</v>
      </c>
      <c r="P112" s="2">
        <v>0.77847222222222223</v>
      </c>
      <c r="Q112" s="2">
        <v>0.81180555555555556</v>
      </c>
      <c r="R112" s="2">
        <v>0.8208333333333333</v>
      </c>
      <c r="S112" s="2">
        <v>0.83402777777777781</v>
      </c>
      <c r="T112" t="s">
        <v>7</v>
      </c>
      <c r="U112" t="s">
        <v>18</v>
      </c>
      <c r="V112" t="s">
        <v>8</v>
      </c>
      <c r="X112" t="s">
        <v>58</v>
      </c>
      <c r="Y112" t="s">
        <v>59</v>
      </c>
      <c r="Z112">
        <v>1</v>
      </c>
      <c r="AA112">
        <v>4</v>
      </c>
      <c r="AB112" t="s">
        <v>11</v>
      </c>
      <c r="AC112" t="s">
        <v>12</v>
      </c>
      <c r="AD112" t="s">
        <v>20</v>
      </c>
      <c r="AE112" t="s">
        <v>29</v>
      </c>
      <c r="AF112" s="1">
        <v>15484</v>
      </c>
      <c r="AG112">
        <f t="shared" ca="1" si="5"/>
        <v>83</v>
      </c>
    </row>
    <row r="113" spans="1:33" x14ac:dyDescent="0.2">
      <c r="A113" s="1">
        <v>46034</v>
      </c>
      <c r="B113" t="str">
        <f t="shared" si="3"/>
        <v>lundi</v>
      </c>
      <c r="C113" t="str">
        <f t="shared" si="4"/>
        <v>Jour</v>
      </c>
      <c r="D113">
        <v>1500489</v>
      </c>
      <c r="E113">
        <v>2586242</v>
      </c>
      <c r="F113" t="s">
        <v>21</v>
      </c>
      <c r="G113" t="s">
        <v>1</v>
      </c>
      <c r="H113" t="s">
        <v>202</v>
      </c>
      <c r="I113" t="s">
        <v>23</v>
      </c>
      <c r="J113" t="s">
        <v>4</v>
      </c>
      <c r="K113">
        <v>60706</v>
      </c>
      <c r="L113" t="s">
        <v>61</v>
      </c>
      <c r="M113" t="s">
        <v>253</v>
      </c>
      <c r="N113" s="2">
        <v>0.44374999999999998</v>
      </c>
      <c r="O113" s="2">
        <v>0.44513888888888886</v>
      </c>
      <c r="P113" s="2">
        <v>0.4465277777777778</v>
      </c>
      <c r="Q113" s="2">
        <v>0.47013888888888888</v>
      </c>
      <c r="R113" s="2">
        <v>0.47361111111111109</v>
      </c>
      <c r="S113" s="2">
        <v>0.4909722222222222</v>
      </c>
      <c r="T113" t="s">
        <v>7</v>
      </c>
      <c r="U113" t="s">
        <v>251</v>
      </c>
      <c r="V113" t="s">
        <v>8</v>
      </c>
      <c r="X113" t="s">
        <v>19</v>
      </c>
      <c r="Y113" t="s">
        <v>220</v>
      </c>
      <c r="Z113">
        <v>1</v>
      </c>
      <c r="AA113">
        <v>4</v>
      </c>
      <c r="AB113" t="s">
        <v>11</v>
      </c>
      <c r="AC113" t="s">
        <v>12</v>
      </c>
      <c r="AD113" t="s">
        <v>20</v>
      </c>
      <c r="AE113" t="s">
        <v>14</v>
      </c>
      <c r="AF113" s="1">
        <v>28385</v>
      </c>
      <c r="AG113">
        <f t="shared" ca="1" si="5"/>
        <v>48</v>
      </c>
    </row>
    <row r="114" spans="1:33" x14ac:dyDescent="0.2">
      <c r="A114" s="1">
        <v>46049</v>
      </c>
      <c r="B114" t="str">
        <f t="shared" si="3"/>
        <v>mardi</v>
      </c>
      <c r="C114" t="str">
        <f t="shared" si="4"/>
        <v>Nuit</v>
      </c>
      <c r="D114">
        <v>1494492</v>
      </c>
      <c r="E114">
        <v>2506647</v>
      </c>
      <c r="F114" t="s">
        <v>56</v>
      </c>
      <c r="G114" t="s">
        <v>1</v>
      </c>
      <c r="H114" t="s">
        <v>23</v>
      </c>
      <c r="I114" t="s">
        <v>202</v>
      </c>
      <c r="J114" t="s">
        <v>4</v>
      </c>
      <c r="K114">
        <v>60708</v>
      </c>
      <c r="L114" t="s">
        <v>5</v>
      </c>
      <c r="M114" t="s">
        <v>6</v>
      </c>
      <c r="N114" s="2">
        <v>0.27152777777777776</v>
      </c>
      <c r="O114" s="2">
        <v>0.27430555555555558</v>
      </c>
      <c r="P114" s="2">
        <v>0.27638888888888891</v>
      </c>
      <c r="Q114" s="2">
        <v>0.29652777777777778</v>
      </c>
      <c r="R114" s="2">
        <v>0.30972222222222223</v>
      </c>
      <c r="S114" s="2">
        <v>0.3263888888888889</v>
      </c>
      <c r="T114" t="s">
        <v>7</v>
      </c>
      <c r="U114" t="s">
        <v>32</v>
      </c>
      <c r="V114" t="s">
        <v>8</v>
      </c>
      <c r="X114" t="s">
        <v>33</v>
      </c>
      <c r="Y114" t="s">
        <v>191</v>
      </c>
      <c r="Z114">
        <v>2</v>
      </c>
      <c r="AA114">
        <v>2</v>
      </c>
      <c r="AB114" t="s">
        <v>11</v>
      </c>
      <c r="AC114" t="s">
        <v>12</v>
      </c>
      <c r="AD114" t="s">
        <v>20</v>
      </c>
      <c r="AE114" t="s">
        <v>14</v>
      </c>
      <c r="AF114" s="1">
        <v>21386</v>
      </c>
      <c r="AG114">
        <f t="shared" ca="1" si="5"/>
        <v>67</v>
      </c>
    </row>
    <row r="115" spans="1:33" x14ac:dyDescent="0.2">
      <c r="A115" s="1">
        <v>46034</v>
      </c>
      <c r="B115" t="str">
        <f t="shared" si="3"/>
        <v>lundi</v>
      </c>
      <c r="C115" t="str">
        <f t="shared" si="4"/>
        <v>Jour</v>
      </c>
      <c r="D115">
        <v>1500491</v>
      </c>
      <c r="E115">
        <v>2586360</v>
      </c>
      <c r="F115" t="s">
        <v>21</v>
      </c>
      <c r="G115" t="s">
        <v>16</v>
      </c>
      <c r="H115" t="s">
        <v>202</v>
      </c>
      <c r="I115" t="s">
        <v>23</v>
      </c>
      <c r="J115" t="s">
        <v>4</v>
      </c>
      <c r="K115">
        <v>60706</v>
      </c>
      <c r="L115" t="s">
        <v>5</v>
      </c>
      <c r="M115" t="s">
        <v>6</v>
      </c>
      <c r="N115" s="2">
        <v>0.71944444444444444</v>
      </c>
      <c r="O115" s="2">
        <v>0.72083333333333333</v>
      </c>
      <c r="P115" s="2">
        <v>0.72916666666666663</v>
      </c>
      <c r="Q115" s="2">
        <v>0.73958333333333337</v>
      </c>
      <c r="R115" s="2">
        <v>0.75138888888888888</v>
      </c>
      <c r="S115" s="2">
        <v>0.77083333333333337</v>
      </c>
      <c r="T115" t="s">
        <v>24</v>
      </c>
      <c r="U115" t="s">
        <v>251</v>
      </c>
      <c r="V115" t="s">
        <v>8</v>
      </c>
      <c r="X115" t="s">
        <v>66</v>
      </c>
      <c r="Y115" t="s">
        <v>85</v>
      </c>
      <c r="Z115">
        <v>3</v>
      </c>
      <c r="AA115">
        <v>2</v>
      </c>
      <c r="AB115" t="s">
        <v>11</v>
      </c>
      <c r="AC115" t="s">
        <v>12</v>
      </c>
      <c r="AD115" t="s">
        <v>20</v>
      </c>
      <c r="AE115" t="s">
        <v>14</v>
      </c>
      <c r="AF115" s="1">
        <v>36653</v>
      </c>
      <c r="AG115">
        <f t="shared" ca="1" si="5"/>
        <v>25</v>
      </c>
    </row>
    <row r="116" spans="1:33" x14ac:dyDescent="0.2">
      <c r="A116" s="1">
        <v>46049</v>
      </c>
      <c r="B116" t="str">
        <f t="shared" si="3"/>
        <v>mardi</v>
      </c>
      <c r="C116" t="str">
        <f t="shared" si="4"/>
        <v>Jour</v>
      </c>
      <c r="D116">
        <v>1510948</v>
      </c>
      <c r="E116">
        <v>2606680</v>
      </c>
      <c r="F116" t="s">
        <v>15</v>
      </c>
      <c r="G116" t="s">
        <v>16</v>
      </c>
      <c r="H116" t="s">
        <v>103</v>
      </c>
      <c r="I116" t="s">
        <v>213</v>
      </c>
      <c r="J116" t="s">
        <v>4</v>
      </c>
      <c r="K116">
        <v>60704</v>
      </c>
      <c r="L116" t="s">
        <v>5</v>
      </c>
      <c r="M116" t="s">
        <v>6</v>
      </c>
      <c r="N116" s="2">
        <v>0.3</v>
      </c>
      <c r="O116" s="2">
        <v>0.30138888888888887</v>
      </c>
      <c r="P116" s="2">
        <v>0.31111111111111112</v>
      </c>
      <c r="Q116" s="2">
        <v>0.3263888888888889</v>
      </c>
      <c r="R116" s="2">
        <v>0.33750000000000002</v>
      </c>
      <c r="S116" s="2">
        <v>0.35833333333333334</v>
      </c>
      <c r="T116" t="s">
        <v>7</v>
      </c>
      <c r="U116" t="s">
        <v>65</v>
      </c>
      <c r="V116" t="s">
        <v>8</v>
      </c>
      <c r="X116" t="s">
        <v>33</v>
      </c>
      <c r="Y116" t="s">
        <v>116</v>
      </c>
      <c r="Z116">
        <v>1</v>
      </c>
      <c r="AA116">
        <v>4</v>
      </c>
      <c r="AB116" t="s">
        <v>11</v>
      </c>
      <c r="AC116" t="s">
        <v>12</v>
      </c>
      <c r="AD116" t="s">
        <v>20</v>
      </c>
      <c r="AE116" t="s">
        <v>29</v>
      </c>
      <c r="AF116" s="1">
        <v>19295</v>
      </c>
      <c r="AG116">
        <f t="shared" ca="1" si="5"/>
        <v>73</v>
      </c>
    </row>
    <row r="117" spans="1:33" x14ac:dyDescent="0.2">
      <c r="A117" s="1">
        <v>46048</v>
      </c>
      <c r="B117" t="str">
        <f t="shared" si="3"/>
        <v>lundi</v>
      </c>
      <c r="C117" t="str">
        <f t="shared" si="4"/>
        <v>Jour</v>
      </c>
      <c r="D117">
        <v>1510962</v>
      </c>
      <c r="E117">
        <v>2606585</v>
      </c>
      <c r="F117" t="s">
        <v>21</v>
      </c>
      <c r="G117" t="s">
        <v>1</v>
      </c>
      <c r="H117" t="s">
        <v>99</v>
      </c>
      <c r="I117" t="s">
        <v>103</v>
      </c>
      <c r="J117" t="s">
        <v>256</v>
      </c>
      <c r="K117">
        <v>60704</v>
      </c>
      <c r="L117" t="s">
        <v>5</v>
      </c>
      <c r="M117" t="s">
        <v>6</v>
      </c>
      <c r="N117" s="2">
        <v>0.75069444444444444</v>
      </c>
      <c r="O117" s="2">
        <v>0.75069444444444444</v>
      </c>
      <c r="P117" s="2">
        <v>0.75208333333333333</v>
      </c>
      <c r="Q117" s="2">
        <v>0.76249999999999996</v>
      </c>
      <c r="R117" s="2">
        <v>0.78402777777777777</v>
      </c>
      <c r="S117" s="2">
        <v>0.79861111111111116</v>
      </c>
      <c r="T117" t="s">
        <v>218</v>
      </c>
      <c r="U117" t="s">
        <v>251</v>
      </c>
      <c r="V117" t="s">
        <v>24</v>
      </c>
      <c r="X117" t="s">
        <v>192</v>
      </c>
      <c r="Y117" t="s">
        <v>198</v>
      </c>
      <c r="Z117">
        <v>2</v>
      </c>
      <c r="AA117">
        <v>2</v>
      </c>
      <c r="AB117" t="s">
        <v>11</v>
      </c>
      <c r="AC117" t="s">
        <v>28</v>
      </c>
      <c r="AD117" t="s">
        <v>20</v>
      </c>
      <c r="AE117" t="s">
        <v>29</v>
      </c>
      <c r="AF117" s="1">
        <v>16725</v>
      </c>
      <c r="AG117">
        <f t="shared" ca="1" si="5"/>
        <v>80</v>
      </c>
    </row>
    <row r="118" spans="1:33" x14ac:dyDescent="0.2">
      <c r="A118" s="1">
        <v>46049</v>
      </c>
      <c r="B118" t="str">
        <f t="shared" si="3"/>
        <v>mardi</v>
      </c>
      <c r="C118" t="str">
        <f t="shared" si="4"/>
        <v>Nuit</v>
      </c>
      <c r="D118">
        <v>1510878</v>
      </c>
      <c r="E118">
        <v>2606667</v>
      </c>
      <c r="F118" t="s">
        <v>117</v>
      </c>
      <c r="G118" t="s">
        <v>25</v>
      </c>
      <c r="H118" t="s">
        <v>78</v>
      </c>
      <c r="I118" t="s">
        <v>189</v>
      </c>
      <c r="J118" t="s">
        <v>4</v>
      </c>
      <c r="K118">
        <v>60706</v>
      </c>
      <c r="L118" t="s">
        <v>5</v>
      </c>
      <c r="M118" t="s">
        <v>6</v>
      </c>
      <c r="N118" s="2">
        <v>0.23680555555555555</v>
      </c>
      <c r="O118" s="2">
        <v>0.24513888888888888</v>
      </c>
      <c r="P118" s="2">
        <v>0.24791666666666667</v>
      </c>
      <c r="Q118" s="2">
        <v>0.27152777777777776</v>
      </c>
      <c r="R118" s="2">
        <v>0.27708333333333335</v>
      </c>
      <c r="S118" s="2">
        <v>0.30208333333333331</v>
      </c>
      <c r="T118" t="s">
        <v>38</v>
      </c>
      <c r="U118" t="s">
        <v>265</v>
      </c>
      <c r="V118" t="s">
        <v>24</v>
      </c>
      <c r="X118" t="s">
        <v>192</v>
      </c>
      <c r="Y118" t="s">
        <v>84</v>
      </c>
      <c r="Z118">
        <v>3</v>
      </c>
      <c r="AA118">
        <v>2</v>
      </c>
      <c r="AB118" t="s">
        <v>11</v>
      </c>
      <c r="AC118" t="s">
        <v>28</v>
      </c>
      <c r="AD118" t="s">
        <v>20</v>
      </c>
      <c r="AE118" t="s">
        <v>29</v>
      </c>
      <c r="AF118" s="1">
        <v>17537</v>
      </c>
      <c r="AG118">
        <f t="shared" ca="1" si="5"/>
        <v>78</v>
      </c>
    </row>
    <row r="119" spans="1:33" x14ac:dyDescent="0.2">
      <c r="A119" s="1">
        <v>46049</v>
      </c>
      <c r="B119" t="str">
        <f t="shared" si="3"/>
        <v>mardi</v>
      </c>
      <c r="C119" t="str">
        <f t="shared" si="4"/>
        <v>Nuit</v>
      </c>
      <c r="D119">
        <v>1494491</v>
      </c>
      <c r="E119">
        <v>2606658</v>
      </c>
      <c r="F119" t="s">
        <v>0</v>
      </c>
      <c r="G119" t="s">
        <v>1</v>
      </c>
      <c r="H119" t="s">
        <v>3</v>
      </c>
      <c r="I119" t="s">
        <v>111</v>
      </c>
      <c r="J119" t="s">
        <v>4</v>
      </c>
      <c r="K119">
        <v>60708</v>
      </c>
      <c r="L119" t="s">
        <v>61</v>
      </c>
      <c r="M119" t="s">
        <v>195</v>
      </c>
      <c r="N119" s="2">
        <v>0.18819444444444444</v>
      </c>
      <c r="O119" s="2">
        <v>0.19027777777777777</v>
      </c>
      <c r="P119" s="2">
        <v>0.19444444444444445</v>
      </c>
      <c r="Q119" s="2">
        <v>0.20972222222222223</v>
      </c>
      <c r="R119" s="2">
        <v>0.21944444444444444</v>
      </c>
      <c r="S119" s="2">
        <v>0.23958333333333334</v>
      </c>
      <c r="T119" t="s">
        <v>8</v>
      </c>
      <c r="U119" t="s">
        <v>32</v>
      </c>
      <c r="V119" t="s">
        <v>8</v>
      </c>
      <c r="X119" t="s">
        <v>252</v>
      </c>
      <c r="Y119" t="s">
        <v>48</v>
      </c>
      <c r="Z119">
        <v>2</v>
      </c>
      <c r="AA119">
        <v>3</v>
      </c>
      <c r="AB119" t="s">
        <v>11</v>
      </c>
      <c r="AC119" t="s">
        <v>12</v>
      </c>
      <c r="AD119" t="s">
        <v>13</v>
      </c>
      <c r="AE119" t="s">
        <v>29</v>
      </c>
      <c r="AF119" s="1">
        <v>34868</v>
      </c>
      <c r="AG119">
        <f t="shared" ca="1" si="5"/>
        <v>30</v>
      </c>
    </row>
    <row r="120" spans="1:33" x14ac:dyDescent="0.2">
      <c r="A120" s="1">
        <v>46049</v>
      </c>
      <c r="B120" t="str">
        <f t="shared" si="3"/>
        <v>mardi</v>
      </c>
      <c r="C120" t="str">
        <f t="shared" si="4"/>
        <v>Nuit</v>
      </c>
      <c r="D120">
        <v>1494490</v>
      </c>
      <c r="E120">
        <v>2606626</v>
      </c>
      <c r="F120" t="s">
        <v>0</v>
      </c>
      <c r="G120" t="s">
        <v>1</v>
      </c>
      <c r="H120" t="s">
        <v>111</v>
      </c>
      <c r="I120" t="s">
        <v>3</v>
      </c>
      <c r="J120" t="s">
        <v>4</v>
      </c>
      <c r="K120">
        <v>60708</v>
      </c>
      <c r="L120" t="s">
        <v>61</v>
      </c>
      <c r="M120" t="s">
        <v>195</v>
      </c>
      <c r="N120" s="2">
        <v>0.95347222222222228</v>
      </c>
      <c r="O120" s="2">
        <v>0.95416666666666672</v>
      </c>
      <c r="P120" s="2">
        <v>0.95763888888888893</v>
      </c>
      <c r="Q120" s="2">
        <v>0.97222222222222221</v>
      </c>
      <c r="R120" s="2">
        <v>0.97499999999999998</v>
      </c>
      <c r="S120" s="2">
        <v>0.99583333333333335</v>
      </c>
      <c r="T120" t="s">
        <v>24</v>
      </c>
      <c r="U120" t="s">
        <v>265</v>
      </c>
      <c r="V120" t="s">
        <v>8</v>
      </c>
      <c r="X120" t="s">
        <v>190</v>
      </c>
      <c r="Y120" t="s">
        <v>191</v>
      </c>
      <c r="Z120">
        <v>1</v>
      </c>
      <c r="AA120">
        <v>5</v>
      </c>
      <c r="AB120" t="s">
        <v>11</v>
      </c>
      <c r="AC120" t="s">
        <v>12</v>
      </c>
      <c r="AD120" t="s">
        <v>13</v>
      </c>
      <c r="AE120" t="s">
        <v>29</v>
      </c>
      <c r="AF120" s="1">
        <v>25425</v>
      </c>
      <c r="AG120">
        <f t="shared" ca="1" si="5"/>
        <v>56</v>
      </c>
    </row>
    <row r="121" spans="1:33" x14ac:dyDescent="0.2">
      <c r="A121" s="1">
        <v>46048</v>
      </c>
      <c r="B121" t="str">
        <f t="shared" si="3"/>
        <v>lundi</v>
      </c>
      <c r="C121" t="str">
        <f t="shared" si="4"/>
        <v>Jour</v>
      </c>
      <c r="D121">
        <v>1510961</v>
      </c>
      <c r="E121">
        <v>2606559</v>
      </c>
      <c r="F121" t="s">
        <v>21</v>
      </c>
      <c r="G121" t="s">
        <v>1</v>
      </c>
      <c r="H121" t="s">
        <v>103</v>
      </c>
      <c r="I121" t="s">
        <v>99</v>
      </c>
      <c r="J121" t="s">
        <v>4</v>
      </c>
      <c r="K121">
        <v>60704</v>
      </c>
      <c r="L121" t="s">
        <v>5</v>
      </c>
      <c r="M121" t="s">
        <v>6</v>
      </c>
      <c r="N121" s="2">
        <v>0.68402777777777779</v>
      </c>
      <c r="O121" s="2">
        <v>0.68541666666666667</v>
      </c>
      <c r="P121" s="2">
        <v>0.69027777777777777</v>
      </c>
      <c r="Q121" s="2">
        <v>0.71111111111111114</v>
      </c>
      <c r="R121" s="2">
        <v>0.72569444444444442</v>
      </c>
      <c r="S121" s="2">
        <v>0.75</v>
      </c>
      <c r="T121" t="s">
        <v>17</v>
      </c>
      <c r="U121" t="s">
        <v>30</v>
      </c>
      <c r="V121" t="s">
        <v>8</v>
      </c>
      <c r="X121" t="s">
        <v>100</v>
      </c>
      <c r="Y121" t="s">
        <v>217</v>
      </c>
      <c r="Z121">
        <v>2</v>
      </c>
      <c r="AA121">
        <v>3</v>
      </c>
      <c r="AB121" t="s">
        <v>11</v>
      </c>
      <c r="AC121" t="s">
        <v>12</v>
      </c>
      <c r="AD121" t="s">
        <v>20</v>
      </c>
      <c r="AE121" t="s">
        <v>14</v>
      </c>
      <c r="AF121" s="1">
        <v>33855</v>
      </c>
      <c r="AG121">
        <f t="shared" ca="1" si="5"/>
        <v>33</v>
      </c>
    </row>
    <row r="122" spans="1:33" x14ac:dyDescent="0.2">
      <c r="A122" s="1">
        <v>46048</v>
      </c>
      <c r="B122" t="str">
        <f t="shared" si="3"/>
        <v>lundi</v>
      </c>
      <c r="C122" t="str">
        <f t="shared" si="4"/>
        <v>Jour</v>
      </c>
      <c r="D122">
        <v>1510876</v>
      </c>
      <c r="E122">
        <v>2606598</v>
      </c>
      <c r="F122" t="s">
        <v>117</v>
      </c>
      <c r="G122" t="s">
        <v>25</v>
      </c>
      <c r="H122" t="s">
        <v>78</v>
      </c>
      <c r="I122" t="s">
        <v>189</v>
      </c>
      <c r="J122" t="s">
        <v>4</v>
      </c>
      <c r="K122">
        <v>60706</v>
      </c>
      <c r="L122" t="s">
        <v>5</v>
      </c>
      <c r="M122" t="s">
        <v>6</v>
      </c>
      <c r="N122" s="2">
        <v>0.7895833333333333</v>
      </c>
      <c r="O122" s="2">
        <v>0.79374999999999996</v>
      </c>
      <c r="P122" s="2">
        <v>0.79861111111111116</v>
      </c>
      <c r="Q122" s="2">
        <v>0.81666666666666665</v>
      </c>
      <c r="R122" s="2">
        <v>0.82361111111111107</v>
      </c>
      <c r="S122" s="2">
        <v>0.84722222222222221</v>
      </c>
      <c r="T122" t="s">
        <v>7</v>
      </c>
      <c r="U122" t="s">
        <v>251</v>
      </c>
      <c r="V122" t="s">
        <v>8</v>
      </c>
      <c r="X122" t="s">
        <v>33</v>
      </c>
      <c r="Y122" t="s">
        <v>108</v>
      </c>
      <c r="Z122">
        <v>4</v>
      </c>
      <c r="AA122">
        <v>3</v>
      </c>
      <c r="AB122" t="s">
        <v>11</v>
      </c>
      <c r="AC122" t="s">
        <v>12</v>
      </c>
      <c r="AD122" t="s">
        <v>20</v>
      </c>
      <c r="AE122" t="s">
        <v>14</v>
      </c>
      <c r="AF122" s="1">
        <v>17205</v>
      </c>
      <c r="AG122">
        <f t="shared" ca="1" si="5"/>
        <v>79</v>
      </c>
    </row>
    <row r="123" spans="1:33" x14ac:dyDescent="0.2">
      <c r="A123" s="1">
        <v>46048</v>
      </c>
      <c r="B123" t="str">
        <f t="shared" si="3"/>
        <v>lundi</v>
      </c>
      <c r="C123" t="str">
        <f t="shared" si="4"/>
        <v>Jour</v>
      </c>
      <c r="D123">
        <v>1494489</v>
      </c>
      <c r="E123">
        <v>2606586</v>
      </c>
      <c r="F123" t="s">
        <v>15</v>
      </c>
      <c r="G123" t="s">
        <v>16</v>
      </c>
      <c r="H123" t="s">
        <v>3</v>
      </c>
      <c r="I123" t="s">
        <v>81</v>
      </c>
      <c r="J123" t="s">
        <v>4</v>
      </c>
      <c r="K123">
        <v>60708</v>
      </c>
      <c r="L123" t="s">
        <v>5</v>
      </c>
      <c r="M123" t="s">
        <v>6</v>
      </c>
      <c r="N123" s="2">
        <v>0.75208333333333333</v>
      </c>
      <c r="O123" s="2">
        <v>0.75416666666666665</v>
      </c>
      <c r="P123" s="2">
        <v>0.75902777777777775</v>
      </c>
      <c r="Q123" s="2">
        <v>0.76944444444444449</v>
      </c>
      <c r="R123" s="2">
        <v>0.77916666666666667</v>
      </c>
      <c r="S123" s="2">
        <v>0.79166666666666663</v>
      </c>
      <c r="T123" t="s">
        <v>7</v>
      </c>
      <c r="U123" t="s">
        <v>263</v>
      </c>
      <c r="V123" t="s">
        <v>8</v>
      </c>
      <c r="X123" t="s">
        <v>66</v>
      </c>
      <c r="Y123" t="s">
        <v>85</v>
      </c>
      <c r="Z123">
        <v>3</v>
      </c>
      <c r="AA123">
        <v>2</v>
      </c>
      <c r="AB123" t="s">
        <v>11</v>
      </c>
      <c r="AC123" t="s">
        <v>12</v>
      </c>
      <c r="AD123" t="s">
        <v>20</v>
      </c>
      <c r="AE123" t="s">
        <v>14</v>
      </c>
      <c r="AF123" s="1">
        <v>28728</v>
      </c>
      <c r="AG123">
        <f t="shared" ca="1" si="5"/>
        <v>47</v>
      </c>
    </row>
    <row r="124" spans="1:33" x14ac:dyDescent="0.2">
      <c r="A124" s="1">
        <v>46048</v>
      </c>
      <c r="B124" t="str">
        <f t="shared" si="3"/>
        <v>lundi</v>
      </c>
      <c r="C124" t="str">
        <f t="shared" si="4"/>
        <v>Jour</v>
      </c>
      <c r="D124">
        <v>1510875</v>
      </c>
      <c r="E124">
        <v>2656542</v>
      </c>
      <c r="F124" t="s">
        <v>25</v>
      </c>
      <c r="G124" t="s">
        <v>25</v>
      </c>
      <c r="H124" t="s">
        <v>68</v>
      </c>
      <c r="I124" t="s">
        <v>197</v>
      </c>
      <c r="J124" t="s">
        <v>4</v>
      </c>
      <c r="K124">
        <v>60706</v>
      </c>
      <c r="L124" t="s">
        <v>5</v>
      </c>
      <c r="M124" t="s">
        <v>6</v>
      </c>
      <c r="N124" s="2">
        <v>0.64583333333333337</v>
      </c>
      <c r="O124" s="2">
        <v>0.64722222222222225</v>
      </c>
      <c r="P124" s="2">
        <v>0.66111111111111109</v>
      </c>
      <c r="Q124" s="2">
        <v>0.67361111111111116</v>
      </c>
      <c r="R124" s="2">
        <v>0.6875</v>
      </c>
      <c r="S124" s="2">
        <v>0.69791666666666663</v>
      </c>
      <c r="T124" t="s">
        <v>64</v>
      </c>
      <c r="U124" t="s">
        <v>250</v>
      </c>
      <c r="V124" t="s">
        <v>8</v>
      </c>
      <c r="X124" t="s">
        <v>74</v>
      </c>
      <c r="Y124" t="s">
        <v>75</v>
      </c>
      <c r="Z124">
        <v>3</v>
      </c>
      <c r="AA124">
        <v>3</v>
      </c>
      <c r="AB124" t="s">
        <v>11</v>
      </c>
      <c r="AC124" t="s">
        <v>28</v>
      </c>
      <c r="AD124" t="s">
        <v>20</v>
      </c>
      <c r="AE124" t="s">
        <v>14</v>
      </c>
      <c r="AF124" s="1">
        <v>15316</v>
      </c>
      <c r="AG124">
        <f t="shared" ca="1" si="5"/>
        <v>84</v>
      </c>
    </row>
    <row r="125" spans="1:33" x14ac:dyDescent="0.2">
      <c r="A125" s="1">
        <v>46048</v>
      </c>
      <c r="B125" t="str">
        <f t="shared" si="3"/>
        <v>lundi</v>
      </c>
      <c r="C125" t="str">
        <f t="shared" si="4"/>
        <v>Jour</v>
      </c>
      <c r="D125">
        <v>1510874</v>
      </c>
      <c r="E125">
        <v>2606532</v>
      </c>
      <c r="F125" t="s">
        <v>25</v>
      </c>
      <c r="G125" t="s">
        <v>25</v>
      </c>
      <c r="H125" t="s">
        <v>197</v>
      </c>
      <c r="I125" t="s">
        <v>68</v>
      </c>
      <c r="J125" t="s">
        <v>4</v>
      </c>
      <c r="K125">
        <v>60706</v>
      </c>
      <c r="L125" t="s">
        <v>5</v>
      </c>
      <c r="M125" t="s">
        <v>6</v>
      </c>
      <c r="N125" s="2">
        <v>0.6020833333333333</v>
      </c>
      <c r="O125" s="2">
        <v>0.60486111111111107</v>
      </c>
      <c r="P125" s="2">
        <v>0.60833333333333328</v>
      </c>
      <c r="Q125" s="2">
        <v>0.61597222222222225</v>
      </c>
      <c r="R125" s="2">
        <v>0.62638888888888888</v>
      </c>
      <c r="S125" s="2">
        <v>0.63888888888888884</v>
      </c>
      <c r="T125" t="s">
        <v>24</v>
      </c>
      <c r="U125" t="s">
        <v>265</v>
      </c>
      <c r="V125" t="s">
        <v>8</v>
      </c>
      <c r="X125" t="s">
        <v>190</v>
      </c>
      <c r="Y125" t="s">
        <v>34</v>
      </c>
      <c r="Z125">
        <v>3</v>
      </c>
      <c r="AA125">
        <v>3</v>
      </c>
      <c r="AB125" t="s">
        <v>11</v>
      </c>
      <c r="AC125" t="s">
        <v>12</v>
      </c>
      <c r="AD125" t="s">
        <v>20</v>
      </c>
      <c r="AE125" t="s">
        <v>14</v>
      </c>
      <c r="AF125" s="1">
        <v>27879</v>
      </c>
      <c r="AG125">
        <f t="shared" ca="1" si="5"/>
        <v>49</v>
      </c>
    </row>
    <row r="126" spans="1:33" x14ac:dyDescent="0.2">
      <c r="A126" s="1">
        <v>46048</v>
      </c>
      <c r="B126" t="str">
        <f t="shared" si="3"/>
        <v>lundi</v>
      </c>
      <c r="C126" t="str">
        <f t="shared" si="4"/>
        <v>Jour</v>
      </c>
      <c r="D126">
        <v>1510873</v>
      </c>
      <c r="E126">
        <v>2606504</v>
      </c>
      <c r="F126" t="s">
        <v>25</v>
      </c>
      <c r="G126" t="s">
        <v>25</v>
      </c>
      <c r="H126" t="s">
        <v>68</v>
      </c>
      <c r="I126" t="s">
        <v>197</v>
      </c>
      <c r="J126" t="s">
        <v>4</v>
      </c>
      <c r="K126">
        <v>60706</v>
      </c>
      <c r="L126" t="s">
        <v>5</v>
      </c>
      <c r="M126" t="s">
        <v>6</v>
      </c>
      <c r="N126" s="2">
        <v>0.53125</v>
      </c>
      <c r="O126" s="2">
        <v>0.53749999999999998</v>
      </c>
      <c r="P126" s="2">
        <v>0.54861111111111116</v>
      </c>
      <c r="Q126" s="2">
        <v>0.56597222222222221</v>
      </c>
      <c r="R126" s="2">
        <v>0.58125000000000004</v>
      </c>
      <c r="S126" s="2">
        <v>0.60069444444444442</v>
      </c>
      <c r="T126" t="s">
        <v>38</v>
      </c>
      <c r="U126" t="s">
        <v>18</v>
      </c>
      <c r="V126" t="s">
        <v>8</v>
      </c>
      <c r="X126" t="s">
        <v>74</v>
      </c>
      <c r="Y126" t="s">
        <v>75</v>
      </c>
      <c r="Z126">
        <v>3</v>
      </c>
      <c r="AA126">
        <v>3</v>
      </c>
      <c r="AB126" t="s">
        <v>11</v>
      </c>
      <c r="AC126" t="s">
        <v>28</v>
      </c>
      <c r="AD126" t="s">
        <v>20</v>
      </c>
      <c r="AE126" t="s">
        <v>14</v>
      </c>
      <c r="AF126" s="1">
        <v>9665</v>
      </c>
      <c r="AG126">
        <f t="shared" ca="1" si="5"/>
        <v>99</v>
      </c>
    </row>
    <row r="127" spans="1:33" x14ac:dyDescent="0.2">
      <c r="A127" s="1">
        <v>46048</v>
      </c>
      <c r="B127" t="str">
        <f t="shared" si="3"/>
        <v>lundi</v>
      </c>
      <c r="C127" t="str">
        <f t="shared" si="4"/>
        <v>Jour</v>
      </c>
      <c r="D127">
        <v>1510872</v>
      </c>
      <c r="E127">
        <v>2606436</v>
      </c>
      <c r="F127" t="s">
        <v>25</v>
      </c>
      <c r="G127" t="s">
        <v>25</v>
      </c>
      <c r="H127" t="s">
        <v>197</v>
      </c>
      <c r="I127" t="s">
        <v>68</v>
      </c>
      <c r="J127" t="s">
        <v>4</v>
      </c>
      <c r="K127">
        <v>60706</v>
      </c>
      <c r="L127" t="s">
        <v>5</v>
      </c>
      <c r="M127" t="s">
        <v>6</v>
      </c>
      <c r="N127" s="2">
        <v>0.36944444444444446</v>
      </c>
      <c r="O127" s="2">
        <v>0.37361111111111112</v>
      </c>
      <c r="P127" s="2">
        <v>0.38750000000000001</v>
      </c>
      <c r="Q127" s="2">
        <v>0.3923611111111111</v>
      </c>
      <c r="R127" s="2">
        <v>0.40833333333333333</v>
      </c>
      <c r="S127" s="2">
        <v>0.42708333333333331</v>
      </c>
      <c r="T127" t="s">
        <v>8</v>
      </c>
      <c r="U127" t="s">
        <v>18</v>
      </c>
      <c r="V127" t="s">
        <v>8</v>
      </c>
      <c r="X127" t="s">
        <v>66</v>
      </c>
      <c r="Y127" t="s">
        <v>85</v>
      </c>
      <c r="Z127">
        <v>3</v>
      </c>
      <c r="AA127">
        <v>3</v>
      </c>
      <c r="AB127" t="s">
        <v>11</v>
      </c>
      <c r="AC127" t="s">
        <v>12</v>
      </c>
      <c r="AD127" t="s">
        <v>20</v>
      </c>
      <c r="AE127" t="s">
        <v>14</v>
      </c>
      <c r="AF127" s="1">
        <v>34862</v>
      </c>
      <c r="AG127">
        <f t="shared" ca="1" si="5"/>
        <v>30</v>
      </c>
    </row>
    <row r="128" spans="1:33" x14ac:dyDescent="0.2">
      <c r="A128" s="1">
        <v>46048</v>
      </c>
      <c r="B128" t="str">
        <f t="shared" si="3"/>
        <v>lundi</v>
      </c>
      <c r="C128" t="str">
        <f t="shared" si="4"/>
        <v>Jour</v>
      </c>
      <c r="D128">
        <v>1494486</v>
      </c>
      <c r="E128">
        <v>2606451</v>
      </c>
      <c r="F128" t="s">
        <v>15</v>
      </c>
      <c r="G128" t="s">
        <v>1</v>
      </c>
      <c r="H128" t="s">
        <v>69</v>
      </c>
      <c r="I128" t="s">
        <v>81</v>
      </c>
      <c r="J128" t="s">
        <v>4</v>
      </c>
      <c r="K128">
        <v>60708</v>
      </c>
      <c r="L128" t="s">
        <v>61</v>
      </c>
      <c r="M128" t="s">
        <v>195</v>
      </c>
      <c r="N128" s="2">
        <v>0.40416666666666667</v>
      </c>
      <c r="O128" s="2">
        <v>0.40416666666666667</v>
      </c>
      <c r="P128" s="2">
        <v>0.41041666666666665</v>
      </c>
      <c r="Q128" s="2">
        <v>0.42916666666666664</v>
      </c>
      <c r="R128" s="2">
        <v>0.43541666666666667</v>
      </c>
      <c r="S128" s="2">
        <v>0.44444444444444442</v>
      </c>
      <c r="T128" t="s">
        <v>7</v>
      </c>
      <c r="U128" t="s">
        <v>39</v>
      </c>
      <c r="V128" t="s">
        <v>24</v>
      </c>
      <c r="X128" t="s">
        <v>190</v>
      </c>
      <c r="Y128" t="s">
        <v>191</v>
      </c>
      <c r="Z128">
        <v>2</v>
      </c>
      <c r="AA128">
        <v>4</v>
      </c>
      <c r="AB128" t="s">
        <v>11</v>
      </c>
      <c r="AC128" t="s">
        <v>12</v>
      </c>
      <c r="AD128" t="s">
        <v>212</v>
      </c>
      <c r="AE128" t="s">
        <v>14</v>
      </c>
      <c r="AF128" s="1">
        <v>15273</v>
      </c>
      <c r="AG128">
        <f t="shared" ca="1" si="5"/>
        <v>84</v>
      </c>
    </row>
    <row r="129" spans="1:33" x14ac:dyDescent="0.2">
      <c r="A129" s="1">
        <v>46048</v>
      </c>
      <c r="B129" t="str">
        <f t="shared" si="3"/>
        <v>lundi</v>
      </c>
      <c r="C129" t="str">
        <f t="shared" si="4"/>
        <v>Jour</v>
      </c>
      <c r="D129">
        <v>1510960</v>
      </c>
      <c r="E129">
        <v>2606543</v>
      </c>
      <c r="F129" t="s">
        <v>21</v>
      </c>
      <c r="G129" t="s">
        <v>1</v>
      </c>
      <c r="H129" t="s">
        <v>103</v>
      </c>
      <c r="I129" t="s">
        <v>99</v>
      </c>
      <c r="J129" t="s">
        <v>4</v>
      </c>
      <c r="K129">
        <v>60704</v>
      </c>
      <c r="L129" t="s">
        <v>5</v>
      </c>
      <c r="M129" t="s">
        <v>6</v>
      </c>
      <c r="N129" s="2">
        <v>0.65</v>
      </c>
      <c r="O129" s="2">
        <v>0.65208333333333335</v>
      </c>
      <c r="P129" s="2">
        <v>0.65277777777777779</v>
      </c>
      <c r="S129" s="2">
        <v>0.66319444444444442</v>
      </c>
      <c r="T129" t="s">
        <v>7</v>
      </c>
      <c r="U129" t="s">
        <v>251</v>
      </c>
      <c r="V129" t="s">
        <v>73</v>
      </c>
      <c r="X129" t="s">
        <v>33</v>
      </c>
      <c r="Y129" t="s">
        <v>187</v>
      </c>
      <c r="Z129" t="s">
        <v>73</v>
      </c>
      <c r="AA129">
        <v>9</v>
      </c>
      <c r="AB129" t="s">
        <v>11</v>
      </c>
      <c r="AC129" t="s">
        <v>73</v>
      </c>
      <c r="AD129" t="s">
        <v>20</v>
      </c>
      <c r="AG129">
        <f t="shared" ca="1" si="5"/>
        <v>126</v>
      </c>
    </row>
    <row r="130" spans="1:33" x14ac:dyDescent="0.2">
      <c r="A130" s="1">
        <v>46048</v>
      </c>
      <c r="B130" t="str">
        <f t="shared" ref="B130:B193" si="6">TEXT(A130,"JJJJ")</f>
        <v>lundi</v>
      </c>
      <c r="C130" t="str">
        <f t="shared" ref="C130:C193" si="7">IF(AND(HOUR(N130)&gt;=7,HOUR(N130)&lt;=19),"Jour","Nuit")</f>
        <v>Nuit</v>
      </c>
      <c r="D130">
        <v>1510956</v>
      </c>
      <c r="E130">
        <v>2606460</v>
      </c>
      <c r="F130" t="s">
        <v>21</v>
      </c>
      <c r="G130" t="s">
        <v>16</v>
      </c>
      <c r="H130" t="s">
        <v>103</v>
      </c>
      <c r="I130" t="s">
        <v>99</v>
      </c>
      <c r="J130" t="s">
        <v>256</v>
      </c>
      <c r="K130">
        <v>60704</v>
      </c>
      <c r="L130" t="s">
        <v>5</v>
      </c>
      <c r="M130" t="s">
        <v>6</v>
      </c>
      <c r="N130" s="2">
        <v>0.29097222222222224</v>
      </c>
      <c r="O130" s="2">
        <v>0.29097222222222224</v>
      </c>
      <c r="P130" s="2">
        <v>0.29652777777777778</v>
      </c>
      <c r="Q130" s="2">
        <v>0.31944444444444442</v>
      </c>
      <c r="R130" s="2">
        <v>0.32777777777777778</v>
      </c>
      <c r="S130" s="2">
        <v>0.34375</v>
      </c>
      <c r="T130" t="s">
        <v>43</v>
      </c>
      <c r="U130" t="s">
        <v>251</v>
      </c>
      <c r="V130" t="s">
        <v>8</v>
      </c>
      <c r="X130" t="s">
        <v>31</v>
      </c>
      <c r="Y130" t="s">
        <v>223</v>
      </c>
      <c r="Z130">
        <v>3</v>
      </c>
      <c r="AA130">
        <v>2</v>
      </c>
      <c r="AB130" t="s">
        <v>11</v>
      </c>
      <c r="AC130" t="s">
        <v>28</v>
      </c>
      <c r="AD130" t="s">
        <v>44</v>
      </c>
      <c r="AE130" t="s">
        <v>29</v>
      </c>
      <c r="AF130" s="1">
        <v>37509</v>
      </c>
      <c r="AG130">
        <f t="shared" ref="AG130:AG193" ca="1" si="8">INT((TODAY()-AF130)/365.25)</f>
        <v>23</v>
      </c>
    </row>
    <row r="131" spans="1:33" x14ac:dyDescent="0.2">
      <c r="A131" s="1">
        <v>46048</v>
      </c>
      <c r="B131" t="str">
        <f t="shared" si="6"/>
        <v>lundi</v>
      </c>
      <c r="C131" t="str">
        <f t="shared" si="7"/>
        <v>Jour</v>
      </c>
      <c r="D131">
        <v>1510958</v>
      </c>
      <c r="E131">
        <v>2606460</v>
      </c>
      <c r="F131" t="s">
        <v>21</v>
      </c>
      <c r="G131" t="s">
        <v>1</v>
      </c>
      <c r="H131" t="s">
        <v>103</v>
      </c>
      <c r="I131" t="s">
        <v>99</v>
      </c>
      <c r="J131" t="s">
        <v>256</v>
      </c>
      <c r="K131">
        <v>60704</v>
      </c>
      <c r="L131" t="s">
        <v>61</v>
      </c>
      <c r="M131" t="s">
        <v>195</v>
      </c>
      <c r="N131" s="2">
        <v>0.43055555555555558</v>
      </c>
      <c r="O131" s="2">
        <v>0.43055555555555558</v>
      </c>
      <c r="P131" s="2">
        <v>0.43611111111111112</v>
      </c>
      <c r="Q131" s="2">
        <v>0.45833333333333331</v>
      </c>
      <c r="R131" s="2">
        <v>0.46875</v>
      </c>
      <c r="S131" s="2">
        <v>0.5</v>
      </c>
      <c r="T131" t="s">
        <v>7</v>
      </c>
      <c r="U131" t="s">
        <v>32</v>
      </c>
      <c r="V131" t="s">
        <v>8</v>
      </c>
      <c r="X131" t="s">
        <v>9</v>
      </c>
      <c r="Y131" t="s">
        <v>10</v>
      </c>
      <c r="Z131">
        <v>1</v>
      </c>
      <c r="AA131">
        <v>4</v>
      </c>
      <c r="AB131" t="s">
        <v>11</v>
      </c>
      <c r="AC131" t="s">
        <v>12</v>
      </c>
      <c r="AD131" t="s">
        <v>13</v>
      </c>
      <c r="AE131" t="s">
        <v>29</v>
      </c>
      <c r="AF131" s="1">
        <v>21339</v>
      </c>
      <c r="AG131">
        <f t="shared" ca="1" si="8"/>
        <v>67</v>
      </c>
    </row>
    <row r="132" spans="1:33" x14ac:dyDescent="0.2">
      <c r="A132" s="1">
        <v>46048</v>
      </c>
      <c r="B132" t="str">
        <f t="shared" si="6"/>
        <v>lundi</v>
      </c>
      <c r="C132" t="str">
        <f t="shared" si="7"/>
        <v>Jour</v>
      </c>
      <c r="D132">
        <v>1494488</v>
      </c>
      <c r="E132">
        <v>2606505</v>
      </c>
      <c r="F132" t="s">
        <v>15</v>
      </c>
      <c r="G132" t="s">
        <v>1</v>
      </c>
      <c r="H132" t="s">
        <v>69</v>
      </c>
      <c r="I132" t="s">
        <v>81</v>
      </c>
      <c r="J132" t="s">
        <v>4</v>
      </c>
      <c r="K132">
        <v>60708</v>
      </c>
      <c r="L132" t="s">
        <v>61</v>
      </c>
      <c r="M132" t="s">
        <v>195</v>
      </c>
      <c r="N132" s="2">
        <v>0.53402777777777777</v>
      </c>
      <c r="O132" s="2">
        <v>0.53402777777777777</v>
      </c>
      <c r="P132" s="2">
        <v>0.53680555555555554</v>
      </c>
      <c r="Q132" s="2">
        <v>0.56041666666666667</v>
      </c>
      <c r="R132" s="2">
        <v>0.56805555555555554</v>
      </c>
      <c r="S132" s="2">
        <v>0.62361111111111112</v>
      </c>
      <c r="T132" t="s">
        <v>7</v>
      </c>
      <c r="U132" t="s">
        <v>265</v>
      </c>
      <c r="V132" t="s">
        <v>8</v>
      </c>
      <c r="X132" t="s">
        <v>190</v>
      </c>
      <c r="Y132" t="s">
        <v>191</v>
      </c>
      <c r="Z132">
        <v>1</v>
      </c>
      <c r="AA132">
        <v>3</v>
      </c>
      <c r="AB132" t="s">
        <v>11</v>
      </c>
      <c r="AC132" t="s">
        <v>12</v>
      </c>
      <c r="AD132" t="s">
        <v>212</v>
      </c>
      <c r="AE132" t="s">
        <v>14</v>
      </c>
      <c r="AF132" s="1">
        <v>13366</v>
      </c>
      <c r="AG132">
        <f t="shared" ca="1" si="8"/>
        <v>89</v>
      </c>
    </row>
    <row r="133" spans="1:33" x14ac:dyDescent="0.2">
      <c r="A133" s="1">
        <v>46048</v>
      </c>
      <c r="B133" t="str">
        <f t="shared" si="6"/>
        <v>lundi</v>
      </c>
      <c r="C133" t="str">
        <f t="shared" si="7"/>
        <v>Jour</v>
      </c>
      <c r="D133">
        <v>1494487</v>
      </c>
      <c r="E133">
        <v>2606483</v>
      </c>
      <c r="F133" t="s">
        <v>15</v>
      </c>
      <c r="G133" t="s">
        <v>1</v>
      </c>
      <c r="H133" t="s">
        <v>81</v>
      </c>
      <c r="I133" t="s">
        <v>69</v>
      </c>
      <c r="J133" t="s">
        <v>4</v>
      </c>
      <c r="K133">
        <v>60708</v>
      </c>
      <c r="L133" t="s">
        <v>5</v>
      </c>
      <c r="M133" t="s">
        <v>6</v>
      </c>
      <c r="N133" s="2">
        <v>0.47291666666666665</v>
      </c>
      <c r="O133" s="2">
        <v>0.47499999999999998</v>
      </c>
      <c r="P133" s="2">
        <v>0.47847222222222224</v>
      </c>
      <c r="Q133" s="2">
        <v>0.4909722222222222</v>
      </c>
      <c r="R133" s="2">
        <v>0.5</v>
      </c>
      <c r="S133" s="2">
        <v>0.52777777777777779</v>
      </c>
      <c r="T133" t="s">
        <v>8</v>
      </c>
      <c r="U133" t="s">
        <v>32</v>
      </c>
      <c r="V133" t="s">
        <v>8</v>
      </c>
      <c r="X133" t="s">
        <v>214</v>
      </c>
      <c r="Y133" t="s">
        <v>215</v>
      </c>
      <c r="Z133">
        <v>1</v>
      </c>
      <c r="AA133">
        <v>4</v>
      </c>
      <c r="AB133" t="s">
        <v>11</v>
      </c>
      <c r="AC133" t="s">
        <v>12</v>
      </c>
      <c r="AD133" t="s">
        <v>20</v>
      </c>
      <c r="AE133" t="s">
        <v>29</v>
      </c>
      <c r="AF133" s="1">
        <v>13073</v>
      </c>
      <c r="AG133">
        <f t="shared" ca="1" si="8"/>
        <v>90</v>
      </c>
    </row>
    <row r="134" spans="1:33" x14ac:dyDescent="0.2">
      <c r="A134" s="1">
        <v>46048</v>
      </c>
      <c r="B134" t="str">
        <f t="shared" si="6"/>
        <v>lundi</v>
      </c>
      <c r="C134" t="str">
        <f t="shared" si="7"/>
        <v>Jour</v>
      </c>
      <c r="D134">
        <v>1510959</v>
      </c>
      <c r="E134">
        <v>2606510</v>
      </c>
      <c r="F134" t="s">
        <v>21</v>
      </c>
      <c r="G134" t="s">
        <v>16</v>
      </c>
      <c r="H134" t="s">
        <v>99</v>
      </c>
      <c r="I134" t="s">
        <v>103</v>
      </c>
      <c r="J134" t="s">
        <v>256</v>
      </c>
      <c r="K134">
        <v>60704</v>
      </c>
      <c r="L134" t="s">
        <v>5</v>
      </c>
      <c r="M134" t="s">
        <v>6</v>
      </c>
      <c r="N134" s="2">
        <v>0.54652777777777772</v>
      </c>
      <c r="O134" s="2">
        <v>0.54791666666666672</v>
      </c>
      <c r="P134" s="2">
        <v>0.5541666666666667</v>
      </c>
      <c r="Q134" s="2">
        <v>0.59375</v>
      </c>
      <c r="R134" s="2">
        <v>0.6020833333333333</v>
      </c>
      <c r="S134" s="2">
        <v>0.62013888888888891</v>
      </c>
      <c r="T134" t="s">
        <v>7</v>
      </c>
      <c r="U134" t="s">
        <v>251</v>
      </c>
      <c r="V134" t="s">
        <v>24</v>
      </c>
      <c r="X134" t="s">
        <v>74</v>
      </c>
      <c r="Y134" t="s">
        <v>75</v>
      </c>
      <c r="Z134">
        <v>2</v>
      </c>
      <c r="AA134">
        <v>3</v>
      </c>
      <c r="AB134" t="s">
        <v>11</v>
      </c>
      <c r="AC134" t="s">
        <v>28</v>
      </c>
      <c r="AD134" t="s">
        <v>44</v>
      </c>
      <c r="AE134" t="s">
        <v>14</v>
      </c>
      <c r="AF134" s="1">
        <v>17735</v>
      </c>
      <c r="AG134">
        <f t="shared" ca="1" si="8"/>
        <v>77</v>
      </c>
    </row>
    <row r="135" spans="1:33" x14ac:dyDescent="0.2">
      <c r="A135" s="1">
        <v>46048</v>
      </c>
      <c r="B135" t="str">
        <f t="shared" si="6"/>
        <v>lundi</v>
      </c>
      <c r="C135" t="str">
        <f t="shared" si="7"/>
        <v>Jour</v>
      </c>
      <c r="D135">
        <v>1494485</v>
      </c>
      <c r="E135">
        <v>2606422</v>
      </c>
      <c r="F135" t="s">
        <v>15</v>
      </c>
      <c r="G135" t="s">
        <v>1</v>
      </c>
      <c r="H135" t="s">
        <v>81</v>
      </c>
      <c r="I135" t="s">
        <v>57</v>
      </c>
      <c r="J135" t="s">
        <v>4</v>
      </c>
      <c r="K135">
        <v>60708</v>
      </c>
      <c r="L135" t="s">
        <v>5</v>
      </c>
      <c r="M135" t="s">
        <v>6</v>
      </c>
      <c r="N135" s="2">
        <v>0.2951388888888889</v>
      </c>
      <c r="O135" s="2">
        <v>0.29652777777777778</v>
      </c>
      <c r="P135" s="2">
        <v>0.2986111111111111</v>
      </c>
      <c r="Q135" s="2">
        <v>0.31874999999999998</v>
      </c>
      <c r="R135" s="2">
        <v>0.33263888888888887</v>
      </c>
      <c r="S135" s="2">
        <v>0.35416666666666669</v>
      </c>
      <c r="T135" t="s">
        <v>38</v>
      </c>
      <c r="U135" t="s">
        <v>32</v>
      </c>
      <c r="V135" t="s">
        <v>8</v>
      </c>
      <c r="X135" t="s">
        <v>9</v>
      </c>
      <c r="Y135" t="s">
        <v>10</v>
      </c>
      <c r="Z135">
        <v>2</v>
      </c>
      <c r="AA135">
        <v>2</v>
      </c>
      <c r="AB135" t="s">
        <v>11</v>
      </c>
      <c r="AC135" t="s">
        <v>12</v>
      </c>
      <c r="AD135" t="s">
        <v>13</v>
      </c>
      <c r="AE135" t="s">
        <v>14</v>
      </c>
      <c r="AF135" s="1">
        <v>11720</v>
      </c>
      <c r="AG135">
        <f t="shared" ca="1" si="8"/>
        <v>94</v>
      </c>
    </row>
    <row r="136" spans="1:33" x14ac:dyDescent="0.2">
      <c r="A136" s="1">
        <v>46048</v>
      </c>
      <c r="B136" t="str">
        <f t="shared" si="6"/>
        <v>lundi</v>
      </c>
      <c r="C136" t="str">
        <f t="shared" si="7"/>
        <v>Jour</v>
      </c>
      <c r="D136">
        <v>1510957</v>
      </c>
      <c r="E136">
        <v>2606444</v>
      </c>
      <c r="F136" t="s">
        <v>21</v>
      </c>
      <c r="G136" t="s">
        <v>1</v>
      </c>
      <c r="H136" t="s">
        <v>99</v>
      </c>
      <c r="I136" t="s">
        <v>103</v>
      </c>
      <c r="J136" t="s">
        <v>256</v>
      </c>
      <c r="K136">
        <v>60704</v>
      </c>
      <c r="L136" t="s">
        <v>5</v>
      </c>
      <c r="M136" t="s">
        <v>6</v>
      </c>
      <c r="N136" s="2">
        <v>0.37916666666666665</v>
      </c>
      <c r="O136" s="2">
        <v>0.37916666666666665</v>
      </c>
      <c r="P136" s="2">
        <v>0.38472222222222224</v>
      </c>
      <c r="Q136" s="2">
        <v>0.39444444444444443</v>
      </c>
      <c r="R136" s="2">
        <v>0.40069444444444446</v>
      </c>
      <c r="S136" s="2">
        <v>0.41736111111111113</v>
      </c>
      <c r="T136" t="s">
        <v>38</v>
      </c>
      <c r="U136" t="s">
        <v>251</v>
      </c>
      <c r="V136" t="s">
        <v>8</v>
      </c>
      <c r="X136" t="s">
        <v>214</v>
      </c>
      <c r="Y136" t="s">
        <v>215</v>
      </c>
      <c r="Z136">
        <v>1</v>
      </c>
      <c r="AA136">
        <v>4</v>
      </c>
      <c r="AB136" t="s">
        <v>11</v>
      </c>
      <c r="AC136" t="s">
        <v>12</v>
      </c>
      <c r="AD136" t="s">
        <v>20</v>
      </c>
      <c r="AE136" t="s">
        <v>14</v>
      </c>
      <c r="AF136" s="1">
        <v>12543</v>
      </c>
      <c r="AG136">
        <f t="shared" ca="1" si="8"/>
        <v>91</v>
      </c>
    </row>
    <row r="137" spans="1:33" x14ac:dyDescent="0.2">
      <c r="A137" s="1">
        <v>46048</v>
      </c>
      <c r="B137" t="str">
        <f t="shared" si="6"/>
        <v>lundi</v>
      </c>
      <c r="C137" t="str">
        <f t="shared" si="7"/>
        <v>Jour</v>
      </c>
      <c r="D137">
        <v>1510946</v>
      </c>
      <c r="E137">
        <v>2606498</v>
      </c>
      <c r="F137" t="s">
        <v>56</v>
      </c>
      <c r="G137" t="s">
        <v>1</v>
      </c>
      <c r="H137" t="s">
        <v>213</v>
      </c>
      <c r="I137" t="s">
        <v>115</v>
      </c>
      <c r="J137" t="s">
        <v>4</v>
      </c>
      <c r="K137">
        <v>60709</v>
      </c>
      <c r="L137" t="s">
        <v>61</v>
      </c>
      <c r="M137" t="s">
        <v>204</v>
      </c>
      <c r="N137" s="2">
        <v>0.5083333333333333</v>
      </c>
      <c r="O137" s="2">
        <v>0.50972222222222219</v>
      </c>
      <c r="P137" s="2">
        <v>0.51180555555555551</v>
      </c>
      <c r="Q137" s="2">
        <v>0.5444444444444444</v>
      </c>
      <c r="R137" s="2">
        <v>0.55138888888888893</v>
      </c>
      <c r="S137" s="2">
        <v>0.59375</v>
      </c>
      <c r="T137" t="s">
        <v>43</v>
      </c>
      <c r="U137" t="s">
        <v>32</v>
      </c>
      <c r="V137" t="s">
        <v>8</v>
      </c>
      <c r="X137" t="s">
        <v>9</v>
      </c>
      <c r="Y137" t="s">
        <v>118</v>
      </c>
      <c r="Z137">
        <v>2</v>
      </c>
      <c r="AA137">
        <v>4</v>
      </c>
      <c r="AB137" t="s">
        <v>11</v>
      </c>
      <c r="AC137" t="s">
        <v>12</v>
      </c>
      <c r="AD137" t="s">
        <v>20</v>
      </c>
      <c r="AE137" t="s">
        <v>29</v>
      </c>
      <c r="AF137" s="1">
        <v>18655</v>
      </c>
      <c r="AG137">
        <f t="shared" ca="1" si="8"/>
        <v>75</v>
      </c>
    </row>
    <row r="138" spans="1:33" x14ac:dyDescent="0.2">
      <c r="A138" s="1">
        <v>46048</v>
      </c>
      <c r="B138" t="str">
        <f t="shared" si="6"/>
        <v>lundi</v>
      </c>
      <c r="C138" t="str">
        <f t="shared" si="7"/>
        <v>Jour</v>
      </c>
      <c r="D138">
        <v>1510945</v>
      </c>
      <c r="E138">
        <v>2606447</v>
      </c>
      <c r="F138" t="s">
        <v>56</v>
      </c>
      <c r="G138" t="s">
        <v>1</v>
      </c>
      <c r="H138" t="s">
        <v>115</v>
      </c>
      <c r="I138" t="s">
        <v>213</v>
      </c>
      <c r="J138" t="s">
        <v>4</v>
      </c>
      <c r="K138">
        <v>60709</v>
      </c>
      <c r="L138" t="s">
        <v>5</v>
      </c>
      <c r="M138" t="s">
        <v>6</v>
      </c>
      <c r="N138" s="2">
        <v>0.38680555555555557</v>
      </c>
      <c r="O138" s="2">
        <v>0.38819444444444445</v>
      </c>
      <c r="P138" s="2">
        <v>0.39652777777777776</v>
      </c>
      <c r="Q138" s="2">
        <v>0.41944444444444445</v>
      </c>
      <c r="R138" s="2">
        <v>0.43611111111111112</v>
      </c>
      <c r="S138" s="2">
        <v>0.46319444444444446</v>
      </c>
      <c r="T138" t="s">
        <v>43</v>
      </c>
      <c r="U138" t="s">
        <v>18</v>
      </c>
      <c r="V138" t="s">
        <v>8</v>
      </c>
      <c r="X138" t="s">
        <v>110</v>
      </c>
      <c r="Y138" t="s">
        <v>223</v>
      </c>
      <c r="Z138">
        <v>2</v>
      </c>
      <c r="AA138">
        <v>3</v>
      </c>
      <c r="AB138" t="s">
        <v>11</v>
      </c>
      <c r="AC138" t="s">
        <v>28</v>
      </c>
      <c r="AD138" t="s">
        <v>44</v>
      </c>
      <c r="AE138" t="s">
        <v>14</v>
      </c>
      <c r="AF138" s="1">
        <v>34816</v>
      </c>
      <c r="AG138">
        <f t="shared" ca="1" si="8"/>
        <v>30</v>
      </c>
    </row>
    <row r="139" spans="1:33" x14ac:dyDescent="0.2">
      <c r="A139" s="1">
        <v>46048</v>
      </c>
      <c r="B139" t="str">
        <f t="shared" si="6"/>
        <v>lundi</v>
      </c>
      <c r="C139" t="str">
        <f t="shared" si="7"/>
        <v>Jour</v>
      </c>
      <c r="D139">
        <v>1510944</v>
      </c>
      <c r="E139">
        <v>2606425</v>
      </c>
      <c r="F139" t="s">
        <v>56</v>
      </c>
      <c r="G139" t="s">
        <v>1</v>
      </c>
      <c r="H139" t="s">
        <v>213</v>
      </c>
      <c r="I139" t="s">
        <v>115</v>
      </c>
      <c r="J139" t="s">
        <v>4</v>
      </c>
      <c r="K139">
        <v>60709</v>
      </c>
      <c r="L139" t="s">
        <v>61</v>
      </c>
      <c r="M139" t="s">
        <v>195</v>
      </c>
      <c r="N139" s="2">
        <v>0.30763888888888891</v>
      </c>
      <c r="O139" s="2">
        <v>0.30972222222222223</v>
      </c>
      <c r="P139" s="2">
        <v>0.31736111111111109</v>
      </c>
      <c r="Q139" s="2">
        <v>0.34236111111111112</v>
      </c>
      <c r="R139" s="2">
        <v>0.36180555555555555</v>
      </c>
      <c r="S139" s="2">
        <v>0.375</v>
      </c>
      <c r="T139" t="s">
        <v>7</v>
      </c>
      <c r="U139" t="s">
        <v>114</v>
      </c>
      <c r="V139" t="s">
        <v>24</v>
      </c>
      <c r="X139" t="s">
        <v>9</v>
      </c>
      <c r="Y139" t="s">
        <v>10</v>
      </c>
      <c r="Z139">
        <v>2</v>
      </c>
      <c r="AA139">
        <v>2</v>
      </c>
      <c r="AB139" t="s">
        <v>11</v>
      </c>
      <c r="AC139" t="s">
        <v>12</v>
      </c>
      <c r="AD139" t="s">
        <v>13</v>
      </c>
      <c r="AE139" t="s">
        <v>14</v>
      </c>
      <c r="AF139" s="1">
        <v>25442</v>
      </c>
      <c r="AG139">
        <f t="shared" ca="1" si="8"/>
        <v>56</v>
      </c>
    </row>
    <row r="140" spans="1:33" x14ac:dyDescent="0.2">
      <c r="A140" s="1">
        <v>46047</v>
      </c>
      <c r="B140" t="str">
        <f t="shared" si="6"/>
        <v>dimanche</v>
      </c>
      <c r="C140" t="str">
        <f t="shared" si="7"/>
        <v>Jour</v>
      </c>
      <c r="D140">
        <v>1510955</v>
      </c>
      <c r="E140">
        <v>2606307</v>
      </c>
      <c r="F140" t="s">
        <v>21</v>
      </c>
      <c r="G140" t="s">
        <v>16</v>
      </c>
      <c r="H140" t="s">
        <v>68</v>
      </c>
      <c r="I140" t="s">
        <v>119</v>
      </c>
      <c r="J140" t="s">
        <v>4</v>
      </c>
      <c r="K140">
        <v>60704</v>
      </c>
      <c r="L140" t="s">
        <v>5</v>
      </c>
      <c r="M140" t="s">
        <v>6</v>
      </c>
      <c r="N140" s="2">
        <v>0.72638888888888886</v>
      </c>
      <c r="O140" s="2">
        <v>0.72777777777777775</v>
      </c>
      <c r="P140" s="2">
        <v>0.73124999999999996</v>
      </c>
      <c r="Q140" s="2">
        <v>0.75</v>
      </c>
      <c r="R140" s="2">
        <v>0.75486111111111109</v>
      </c>
      <c r="S140" s="2">
        <v>0.77500000000000002</v>
      </c>
      <c r="T140" t="s">
        <v>7</v>
      </c>
      <c r="U140" t="s">
        <v>251</v>
      </c>
      <c r="V140" t="s">
        <v>8</v>
      </c>
      <c r="X140" t="s">
        <v>19</v>
      </c>
      <c r="Y140" t="s">
        <v>211</v>
      </c>
      <c r="Z140">
        <v>2</v>
      </c>
      <c r="AA140">
        <v>3</v>
      </c>
      <c r="AB140" t="s">
        <v>11</v>
      </c>
      <c r="AC140" t="s">
        <v>12</v>
      </c>
      <c r="AD140" t="s">
        <v>20</v>
      </c>
      <c r="AE140" t="s">
        <v>14</v>
      </c>
      <c r="AF140" s="1">
        <v>25301</v>
      </c>
      <c r="AG140">
        <f t="shared" ca="1" si="8"/>
        <v>56</v>
      </c>
    </row>
    <row r="141" spans="1:33" x14ac:dyDescent="0.2">
      <c r="A141" s="1">
        <v>46047</v>
      </c>
      <c r="B141" t="str">
        <f t="shared" si="6"/>
        <v>dimanche</v>
      </c>
      <c r="C141" t="str">
        <f t="shared" si="7"/>
        <v>Jour</v>
      </c>
      <c r="D141">
        <v>1510952</v>
      </c>
      <c r="E141">
        <v>2606237</v>
      </c>
      <c r="F141" t="s">
        <v>21</v>
      </c>
      <c r="G141" t="s">
        <v>1</v>
      </c>
      <c r="H141" t="s">
        <v>68</v>
      </c>
      <c r="I141" t="s">
        <v>119</v>
      </c>
      <c r="J141" t="s">
        <v>4</v>
      </c>
      <c r="K141">
        <v>60704</v>
      </c>
      <c r="L141" t="s">
        <v>5</v>
      </c>
      <c r="M141" t="s">
        <v>253</v>
      </c>
      <c r="N141" s="2">
        <v>0.50763888888888886</v>
      </c>
      <c r="O141" s="2">
        <v>0.50902777777777775</v>
      </c>
      <c r="P141" s="2">
        <v>0.51041666666666663</v>
      </c>
      <c r="Q141" s="2">
        <v>0.53819444444444442</v>
      </c>
      <c r="R141" s="2">
        <v>0.54166666666666663</v>
      </c>
      <c r="S141" s="2">
        <v>0.5625</v>
      </c>
      <c r="T141" t="s">
        <v>24</v>
      </c>
      <c r="U141" t="s">
        <v>251</v>
      </c>
      <c r="V141" t="s">
        <v>8</v>
      </c>
      <c r="X141" t="s">
        <v>9</v>
      </c>
      <c r="Y141" t="s">
        <v>10</v>
      </c>
      <c r="Z141">
        <v>1</v>
      </c>
      <c r="AA141">
        <v>4</v>
      </c>
      <c r="AB141" t="s">
        <v>11</v>
      </c>
      <c r="AC141" t="s">
        <v>12</v>
      </c>
      <c r="AD141" t="s">
        <v>13</v>
      </c>
      <c r="AE141" t="s">
        <v>29</v>
      </c>
      <c r="AF141" s="1">
        <v>21277</v>
      </c>
      <c r="AG141">
        <f t="shared" ca="1" si="8"/>
        <v>67</v>
      </c>
    </row>
    <row r="142" spans="1:33" x14ac:dyDescent="0.2">
      <c r="A142" s="1">
        <v>46047</v>
      </c>
      <c r="B142" t="str">
        <f t="shared" si="6"/>
        <v>dimanche</v>
      </c>
      <c r="C142" t="str">
        <f t="shared" si="7"/>
        <v>Jour</v>
      </c>
      <c r="D142">
        <v>1510954</v>
      </c>
      <c r="E142">
        <v>2606293</v>
      </c>
      <c r="F142" t="s">
        <v>21</v>
      </c>
      <c r="G142" t="s">
        <v>1</v>
      </c>
      <c r="H142" t="s">
        <v>68</v>
      </c>
      <c r="I142" t="s">
        <v>119</v>
      </c>
      <c r="J142" t="s">
        <v>4</v>
      </c>
      <c r="K142">
        <v>60704</v>
      </c>
      <c r="L142" t="s">
        <v>5</v>
      </c>
      <c r="M142" t="s">
        <v>6</v>
      </c>
      <c r="N142" s="2">
        <v>0.66388888888888886</v>
      </c>
      <c r="O142" s="2">
        <v>0.66597222222222219</v>
      </c>
      <c r="P142" s="2">
        <v>0.67361111111111116</v>
      </c>
      <c r="Q142" s="2">
        <v>0.68611111111111112</v>
      </c>
      <c r="R142" s="2">
        <v>0.6958333333333333</v>
      </c>
      <c r="S142" s="2">
        <v>0.71527777777777779</v>
      </c>
      <c r="T142" t="s">
        <v>64</v>
      </c>
      <c r="U142" t="s">
        <v>65</v>
      </c>
      <c r="V142" t="s">
        <v>8</v>
      </c>
      <c r="X142" t="s">
        <v>209</v>
      </c>
      <c r="Y142" t="s">
        <v>80</v>
      </c>
      <c r="Z142">
        <v>1</v>
      </c>
      <c r="AA142">
        <v>4</v>
      </c>
      <c r="AB142" t="s">
        <v>11</v>
      </c>
      <c r="AC142" t="s">
        <v>12</v>
      </c>
      <c r="AD142" t="s">
        <v>20</v>
      </c>
      <c r="AE142" t="s">
        <v>29</v>
      </c>
      <c r="AF142" s="1">
        <v>27641</v>
      </c>
      <c r="AG142">
        <f t="shared" ca="1" si="8"/>
        <v>50</v>
      </c>
    </row>
    <row r="143" spans="1:33" x14ac:dyDescent="0.2">
      <c r="A143" s="1">
        <v>46048</v>
      </c>
      <c r="B143" t="str">
        <f t="shared" si="6"/>
        <v>lundi</v>
      </c>
      <c r="C143" t="str">
        <f t="shared" si="7"/>
        <v>Nuit</v>
      </c>
      <c r="D143">
        <v>1510871</v>
      </c>
      <c r="E143">
        <v>2606334</v>
      </c>
      <c r="F143" t="s">
        <v>0</v>
      </c>
      <c r="G143" t="s">
        <v>16</v>
      </c>
      <c r="H143" t="s">
        <v>57</v>
      </c>
      <c r="I143" t="s">
        <v>37</v>
      </c>
      <c r="J143" t="s">
        <v>4</v>
      </c>
      <c r="K143">
        <v>60706</v>
      </c>
      <c r="L143" t="s">
        <v>5</v>
      </c>
      <c r="M143" t="s">
        <v>120</v>
      </c>
      <c r="N143" s="2">
        <v>0.21180555555555555</v>
      </c>
      <c r="O143" s="2">
        <v>0.21319444444444444</v>
      </c>
      <c r="P143" s="2">
        <v>0.21597222222222223</v>
      </c>
      <c r="S143" s="2">
        <v>0.25972222222222224</v>
      </c>
      <c r="T143" t="s">
        <v>43</v>
      </c>
      <c r="U143" t="s">
        <v>32</v>
      </c>
      <c r="V143" t="s">
        <v>43</v>
      </c>
      <c r="X143" t="s">
        <v>33</v>
      </c>
      <c r="Y143" t="s">
        <v>187</v>
      </c>
      <c r="Z143" t="s">
        <v>73</v>
      </c>
      <c r="AA143">
        <v>0</v>
      </c>
      <c r="AB143" t="s">
        <v>11</v>
      </c>
      <c r="AC143" t="s">
        <v>73</v>
      </c>
      <c r="AD143" t="s">
        <v>20</v>
      </c>
      <c r="AE143" t="s">
        <v>29</v>
      </c>
      <c r="AF143" t="s">
        <v>121</v>
      </c>
      <c r="AG143" t="e">
        <f t="shared" ca="1" si="8"/>
        <v>#VALUE!</v>
      </c>
    </row>
    <row r="144" spans="1:33" x14ac:dyDescent="0.2">
      <c r="A144" s="1">
        <v>46047</v>
      </c>
      <c r="B144" t="str">
        <f t="shared" si="6"/>
        <v>dimanche</v>
      </c>
      <c r="C144" t="str">
        <f t="shared" si="7"/>
        <v>Jour</v>
      </c>
      <c r="D144">
        <v>1510868</v>
      </c>
      <c r="E144">
        <v>2606328</v>
      </c>
      <c r="F144" t="s">
        <v>0</v>
      </c>
      <c r="G144" t="s">
        <v>16</v>
      </c>
      <c r="H144" t="s">
        <v>37</v>
      </c>
      <c r="I144" t="s">
        <v>57</v>
      </c>
      <c r="J144" t="s">
        <v>4</v>
      </c>
      <c r="K144">
        <v>60706</v>
      </c>
      <c r="L144" t="s">
        <v>5</v>
      </c>
      <c r="M144" t="s">
        <v>6</v>
      </c>
      <c r="N144" s="2">
        <v>0.79236111111111107</v>
      </c>
      <c r="O144" s="2">
        <v>0.79305555555555551</v>
      </c>
      <c r="P144" s="2">
        <v>0.80902777777777779</v>
      </c>
      <c r="Q144" s="2">
        <v>0.81805555555555554</v>
      </c>
      <c r="R144" s="2">
        <v>0.83750000000000002</v>
      </c>
      <c r="S144" s="2">
        <v>0.8520833333333333</v>
      </c>
      <c r="T144" t="s">
        <v>7</v>
      </c>
      <c r="U144" t="s">
        <v>250</v>
      </c>
      <c r="V144" t="s">
        <v>8</v>
      </c>
      <c r="X144" t="s">
        <v>206</v>
      </c>
      <c r="Y144" t="s">
        <v>122</v>
      </c>
      <c r="Z144">
        <v>3</v>
      </c>
      <c r="AA144">
        <v>2</v>
      </c>
      <c r="AB144" t="s">
        <v>93</v>
      </c>
      <c r="AC144" t="s">
        <v>12</v>
      </c>
      <c r="AD144" t="s">
        <v>107</v>
      </c>
      <c r="AE144" t="s">
        <v>14</v>
      </c>
      <c r="AF144" s="1">
        <v>38098</v>
      </c>
      <c r="AG144">
        <f t="shared" ca="1" si="8"/>
        <v>21</v>
      </c>
    </row>
    <row r="145" spans="1:33" x14ac:dyDescent="0.2">
      <c r="A145" s="1">
        <v>46047</v>
      </c>
      <c r="B145" t="str">
        <f t="shared" si="6"/>
        <v>dimanche</v>
      </c>
      <c r="C145" t="str">
        <f t="shared" si="7"/>
        <v>Nuit</v>
      </c>
      <c r="D145">
        <v>1510869</v>
      </c>
      <c r="E145">
        <v>2606361</v>
      </c>
      <c r="F145" t="s">
        <v>0</v>
      </c>
      <c r="G145" t="s">
        <v>16</v>
      </c>
      <c r="H145" t="s">
        <v>57</v>
      </c>
      <c r="I145" t="s">
        <v>37</v>
      </c>
      <c r="J145" t="s">
        <v>4</v>
      </c>
      <c r="K145">
        <v>60706</v>
      </c>
      <c r="L145" t="s">
        <v>5</v>
      </c>
      <c r="M145" t="s">
        <v>6</v>
      </c>
      <c r="N145" s="2">
        <v>0.88124999999999998</v>
      </c>
      <c r="O145" s="2">
        <v>0.88263888888888886</v>
      </c>
      <c r="P145" s="2">
        <v>0.8881944444444444</v>
      </c>
      <c r="Q145" s="2">
        <v>0.90972222222222221</v>
      </c>
      <c r="R145" s="2">
        <v>0.91527777777777775</v>
      </c>
      <c r="S145" s="2">
        <v>0.93055555555555558</v>
      </c>
      <c r="T145" t="s">
        <v>7</v>
      </c>
      <c r="U145" t="s">
        <v>109</v>
      </c>
      <c r="V145" t="s">
        <v>24</v>
      </c>
      <c r="X145" t="s">
        <v>33</v>
      </c>
      <c r="Y145" t="s">
        <v>123</v>
      </c>
      <c r="Z145">
        <v>3</v>
      </c>
      <c r="AA145">
        <v>2</v>
      </c>
      <c r="AB145" t="s">
        <v>11</v>
      </c>
      <c r="AC145" t="s">
        <v>12</v>
      </c>
      <c r="AD145" t="s">
        <v>20</v>
      </c>
      <c r="AE145" t="s">
        <v>29</v>
      </c>
      <c r="AF145" s="1">
        <v>29461</v>
      </c>
      <c r="AG145">
        <f t="shared" ca="1" si="8"/>
        <v>45</v>
      </c>
    </row>
    <row r="146" spans="1:33" x14ac:dyDescent="0.2">
      <c r="A146" s="1">
        <v>46048</v>
      </c>
      <c r="B146" t="str">
        <f t="shared" si="6"/>
        <v>lundi</v>
      </c>
      <c r="C146" t="str">
        <f t="shared" si="7"/>
        <v>Nuit</v>
      </c>
      <c r="D146">
        <v>1510870</v>
      </c>
      <c r="E146">
        <v>2606395</v>
      </c>
      <c r="F146" t="s">
        <v>0</v>
      </c>
      <c r="G146" t="s">
        <v>16</v>
      </c>
      <c r="H146" t="s">
        <v>37</v>
      </c>
      <c r="I146" t="s">
        <v>57</v>
      </c>
      <c r="J146" t="s">
        <v>4</v>
      </c>
      <c r="K146">
        <v>60706</v>
      </c>
      <c r="L146" t="s">
        <v>5</v>
      </c>
      <c r="M146" t="s">
        <v>6</v>
      </c>
      <c r="N146" s="2">
        <v>0.05</v>
      </c>
      <c r="O146" s="2">
        <v>5.1388888888888887E-2</v>
      </c>
      <c r="P146" s="2">
        <v>5.7638888888888892E-2</v>
      </c>
      <c r="S146" s="2">
        <v>0.10486111111111111</v>
      </c>
      <c r="T146" t="s">
        <v>17</v>
      </c>
      <c r="U146" t="s">
        <v>32</v>
      </c>
      <c r="V146" t="s">
        <v>47</v>
      </c>
      <c r="W146" t="s">
        <v>216</v>
      </c>
      <c r="X146" t="s">
        <v>33</v>
      </c>
      <c r="Y146" t="s">
        <v>230</v>
      </c>
      <c r="Z146">
        <v>3</v>
      </c>
      <c r="AA146">
        <v>1</v>
      </c>
      <c r="AB146" t="s">
        <v>93</v>
      </c>
      <c r="AC146" t="s">
        <v>12</v>
      </c>
      <c r="AD146" t="s">
        <v>20</v>
      </c>
      <c r="AE146" t="s">
        <v>14</v>
      </c>
      <c r="AF146" s="1">
        <v>15921</v>
      </c>
      <c r="AG146">
        <f t="shared" ca="1" si="8"/>
        <v>82</v>
      </c>
    </row>
    <row r="147" spans="1:33" x14ac:dyDescent="0.2">
      <c r="A147" s="1">
        <v>46042</v>
      </c>
      <c r="B147" t="str">
        <f t="shared" si="6"/>
        <v>mardi</v>
      </c>
      <c r="C147" t="str">
        <f t="shared" si="7"/>
        <v>Jour</v>
      </c>
      <c r="D147">
        <v>1500496</v>
      </c>
      <c r="E147">
        <v>2605078</v>
      </c>
      <c r="F147" t="s">
        <v>56</v>
      </c>
      <c r="G147" t="s">
        <v>1</v>
      </c>
      <c r="H147" t="s">
        <v>57</v>
      </c>
      <c r="I147" t="s">
        <v>68</v>
      </c>
      <c r="J147" t="s">
        <v>4</v>
      </c>
      <c r="K147">
        <v>60706</v>
      </c>
      <c r="L147" t="s">
        <v>5</v>
      </c>
      <c r="M147" t="s">
        <v>6</v>
      </c>
      <c r="N147" s="2">
        <v>0.72569444444444442</v>
      </c>
      <c r="O147" s="2">
        <v>0.72638888888888886</v>
      </c>
      <c r="P147" s="2">
        <v>0.72638888888888886</v>
      </c>
      <c r="Q147" s="2">
        <v>0.73541666666666672</v>
      </c>
      <c r="R147" s="2">
        <v>0.73888888888888893</v>
      </c>
      <c r="S147" s="2">
        <v>0.77083333333333337</v>
      </c>
      <c r="T147" t="s">
        <v>24</v>
      </c>
      <c r="U147" t="s">
        <v>265</v>
      </c>
      <c r="V147" t="s">
        <v>8</v>
      </c>
      <c r="X147" t="s">
        <v>9</v>
      </c>
      <c r="Y147" t="s">
        <v>10</v>
      </c>
      <c r="Z147">
        <v>2</v>
      </c>
      <c r="AA147">
        <v>4</v>
      </c>
      <c r="AB147" t="s">
        <v>11</v>
      </c>
      <c r="AC147" t="s">
        <v>12</v>
      </c>
      <c r="AD147" t="s">
        <v>13</v>
      </c>
      <c r="AE147" t="s">
        <v>14</v>
      </c>
      <c r="AF147" s="1">
        <v>16063</v>
      </c>
      <c r="AG147">
        <f t="shared" ca="1" si="8"/>
        <v>82</v>
      </c>
    </row>
    <row r="148" spans="1:33" x14ac:dyDescent="0.2">
      <c r="A148" s="1">
        <v>46047</v>
      </c>
      <c r="B148" t="str">
        <f t="shared" si="6"/>
        <v>dimanche</v>
      </c>
      <c r="C148" t="str">
        <f t="shared" si="7"/>
        <v>Jour</v>
      </c>
      <c r="D148">
        <v>1510953</v>
      </c>
      <c r="E148">
        <v>2606262</v>
      </c>
      <c r="F148" t="s">
        <v>21</v>
      </c>
      <c r="G148" t="s">
        <v>1</v>
      </c>
      <c r="H148" t="s">
        <v>119</v>
      </c>
      <c r="I148" t="s">
        <v>68</v>
      </c>
      <c r="J148" t="s">
        <v>4</v>
      </c>
      <c r="K148">
        <v>60704</v>
      </c>
      <c r="L148" t="s">
        <v>5</v>
      </c>
      <c r="M148" t="s">
        <v>6</v>
      </c>
      <c r="N148" s="2">
        <v>0.57638888888888884</v>
      </c>
      <c r="O148" s="2">
        <v>0.57777777777777772</v>
      </c>
      <c r="P148" s="2">
        <v>0.58263888888888893</v>
      </c>
      <c r="Q148" s="2">
        <v>0.60347222222222219</v>
      </c>
      <c r="R148" s="2">
        <v>0.61458333333333337</v>
      </c>
      <c r="S148" s="2">
        <v>0.62847222222222221</v>
      </c>
      <c r="T148" t="s">
        <v>7</v>
      </c>
      <c r="U148" t="s">
        <v>251</v>
      </c>
      <c r="V148" t="s">
        <v>8</v>
      </c>
      <c r="X148" t="s">
        <v>33</v>
      </c>
      <c r="Y148" t="s">
        <v>217</v>
      </c>
      <c r="Z148">
        <v>2</v>
      </c>
      <c r="AA148">
        <v>3</v>
      </c>
      <c r="AB148" t="s">
        <v>11</v>
      </c>
      <c r="AC148" t="s">
        <v>12</v>
      </c>
      <c r="AD148" t="s">
        <v>20</v>
      </c>
      <c r="AE148" t="s">
        <v>29</v>
      </c>
      <c r="AF148" s="1">
        <v>26149</v>
      </c>
      <c r="AG148">
        <f t="shared" ca="1" si="8"/>
        <v>54</v>
      </c>
    </row>
    <row r="149" spans="1:33" x14ac:dyDescent="0.2">
      <c r="A149" s="1">
        <v>46047</v>
      </c>
      <c r="B149" t="str">
        <f t="shared" si="6"/>
        <v>dimanche</v>
      </c>
      <c r="C149" t="str">
        <f t="shared" si="7"/>
        <v>Jour</v>
      </c>
      <c r="D149">
        <v>1510867</v>
      </c>
      <c r="E149">
        <v>2606278</v>
      </c>
      <c r="F149" t="s">
        <v>15</v>
      </c>
      <c r="G149" t="s">
        <v>1</v>
      </c>
      <c r="H149" t="s">
        <v>26</v>
      </c>
      <c r="I149" t="s">
        <v>3</v>
      </c>
      <c r="J149" t="s">
        <v>4</v>
      </c>
      <c r="K149">
        <v>60706</v>
      </c>
      <c r="L149" t="s">
        <v>5</v>
      </c>
      <c r="M149" t="s">
        <v>6</v>
      </c>
      <c r="N149" s="2">
        <v>0.62638888888888888</v>
      </c>
      <c r="O149" s="2">
        <v>0.62777777777777777</v>
      </c>
      <c r="P149" s="2">
        <v>0.63055555555555554</v>
      </c>
      <c r="Q149" s="2">
        <v>0.66180555555555554</v>
      </c>
      <c r="R149" s="2">
        <v>0.66874999999999996</v>
      </c>
      <c r="S149" s="2">
        <v>0.70138888888888884</v>
      </c>
      <c r="T149" t="s">
        <v>7</v>
      </c>
      <c r="U149" t="s">
        <v>263</v>
      </c>
      <c r="V149" t="s">
        <v>8</v>
      </c>
      <c r="X149" t="s">
        <v>9</v>
      </c>
      <c r="Y149" t="s">
        <v>10</v>
      </c>
      <c r="Z149">
        <v>2</v>
      </c>
      <c r="AA149">
        <v>3</v>
      </c>
      <c r="AB149" t="s">
        <v>11</v>
      </c>
      <c r="AC149" t="s">
        <v>12</v>
      </c>
      <c r="AD149" t="s">
        <v>113</v>
      </c>
      <c r="AE149" t="s">
        <v>14</v>
      </c>
      <c r="AF149" s="1">
        <v>28728</v>
      </c>
      <c r="AG149">
        <f t="shared" ca="1" si="8"/>
        <v>47</v>
      </c>
    </row>
    <row r="150" spans="1:33" x14ac:dyDescent="0.2">
      <c r="A150" s="1">
        <v>46047</v>
      </c>
      <c r="B150" t="str">
        <f t="shared" si="6"/>
        <v>dimanche</v>
      </c>
      <c r="C150" t="str">
        <f t="shared" si="7"/>
        <v>Jour</v>
      </c>
      <c r="D150">
        <v>1510951</v>
      </c>
      <c r="E150">
        <v>1606215</v>
      </c>
      <c r="F150" t="s">
        <v>21</v>
      </c>
      <c r="G150" t="s">
        <v>16</v>
      </c>
      <c r="H150" t="s">
        <v>119</v>
      </c>
      <c r="I150" t="s">
        <v>68</v>
      </c>
      <c r="J150" t="s">
        <v>4</v>
      </c>
      <c r="K150">
        <v>60704</v>
      </c>
      <c r="L150" t="s">
        <v>5</v>
      </c>
      <c r="M150" t="s">
        <v>6</v>
      </c>
      <c r="N150" s="2">
        <v>0.4236111111111111</v>
      </c>
      <c r="O150" s="2">
        <v>0.42569444444444443</v>
      </c>
      <c r="P150" s="2">
        <v>0.43194444444444446</v>
      </c>
      <c r="Q150" s="2">
        <v>0.46111111111111114</v>
      </c>
      <c r="R150" s="2">
        <v>0.47083333333333333</v>
      </c>
      <c r="S150" s="2">
        <v>0.48541666666666666</v>
      </c>
      <c r="T150" t="s">
        <v>7</v>
      </c>
      <c r="U150" t="s">
        <v>251</v>
      </c>
      <c r="V150" t="s">
        <v>8</v>
      </c>
      <c r="X150" t="s">
        <v>206</v>
      </c>
      <c r="Y150" t="s">
        <v>207</v>
      </c>
      <c r="Z150">
        <v>3</v>
      </c>
      <c r="AA150">
        <v>3</v>
      </c>
      <c r="AB150" t="s">
        <v>11</v>
      </c>
      <c r="AC150" t="s">
        <v>28</v>
      </c>
      <c r="AD150" t="s">
        <v>44</v>
      </c>
      <c r="AE150" t="s">
        <v>14</v>
      </c>
      <c r="AF150" s="1">
        <v>12349</v>
      </c>
      <c r="AG150">
        <f t="shared" ca="1" si="8"/>
        <v>92</v>
      </c>
    </row>
    <row r="151" spans="1:33" x14ac:dyDescent="0.2">
      <c r="A151" s="1">
        <v>46047</v>
      </c>
      <c r="B151" t="str">
        <f t="shared" si="6"/>
        <v>dimanche</v>
      </c>
      <c r="C151" t="str">
        <f t="shared" si="7"/>
        <v>Jour</v>
      </c>
      <c r="D151">
        <v>1494484</v>
      </c>
      <c r="E151">
        <v>2606252</v>
      </c>
      <c r="F151" t="s">
        <v>25</v>
      </c>
      <c r="G151" t="s">
        <v>25</v>
      </c>
      <c r="H151" t="s">
        <v>197</v>
      </c>
      <c r="I151" t="s">
        <v>111</v>
      </c>
      <c r="J151" t="s">
        <v>4</v>
      </c>
      <c r="K151">
        <v>60708</v>
      </c>
      <c r="L151" t="s">
        <v>5</v>
      </c>
      <c r="M151" t="s">
        <v>6</v>
      </c>
      <c r="N151" s="2">
        <v>0.54791666666666672</v>
      </c>
      <c r="O151" s="2">
        <v>0.55000000000000004</v>
      </c>
      <c r="P151" s="2">
        <v>0.55486111111111114</v>
      </c>
      <c r="Q151" s="2">
        <v>0.56944444444444442</v>
      </c>
      <c r="R151" s="2">
        <v>0.5805555555555556</v>
      </c>
      <c r="S151" s="2">
        <v>0.60069444444444442</v>
      </c>
      <c r="T151" t="s">
        <v>43</v>
      </c>
      <c r="U151" t="s">
        <v>263</v>
      </c>
      <c r="V151" t="s">
        <v>8</v>
      </c>
      <c r="X151" t="s">
        <v>124</v>
      </c>
      <c r="Y151" t="s">
        <v>96</v>
      </c>
      <c r="Z151">
        <v>3</v>
      </c>
      <c r="AA151">
        <v>3</v>
      </c>
      <c r="AB151" t="s">
        <v>11</v>
      </c>
      <c r="AC151" t="s">
        <v>28</v>
      </c>
      <c r="AD151" t="s">
        <v>20</v>
      </c>
      <c r="AE151" t="s">
        <v>29</v>
      </c>
      <c r="AF151" s="1">
        <v>30476</v>
      </c>
      <c r="AG151">
        <f t="shared" ca="1" si="8"/>
        <v>42</v>
      </c>
    </row>
    <row r="152" spans="1:33" x14ac:dyDescent="0.2">
      <c r="A152" s="1">
        <v>46044</v>
      </c>
      <c r="B152" t="str">
        <f t="shared" si="6"/>
        <v>jeudi</v>
      </c>
      <c r="C152" t="str">
        <f t="shared" si="7"/>
        <v>Jour</v>
      </c>
      <c r="D152">
        <v>1492841</v>
      </c>
      <c r="E152">
        <v>2605478</v>
      </c>
      <c r="F152" t="s">
        <v>15</v>
      </c>
      <c r="G152" t="s">
        <v>1</v>
      </c>
      <c r="H152" t="s">
        <v>42</v>
      </c>
      <c r="I152" t="s">
        <v>49</v>
      </c>
      <c r="J152" t="s">
        <v>4</v>
      </c>
      <c r="K152">
        <v>60707</v>
      </c>
      <c r="L152" t="s">
        <v>5</v>
      </c>
      <c r="M152" t="s">
        <v>6</v>
      </c>
      <c r="N152" s="2">
        <v>0.41805555555555557</v>
      </c>
      <c r="O152" s="2">
        <v>0.4201388888888889</v>
      </c>
      <c r="P152" s="2">
        <v>0.42638888888888887</v>
      </c>
      <c r="Q152" s="2">
        <v>0.44444444444444442</v>
      </c>
      <c r="R152" s="2">
        <v>0.45347222222222222</v>
      </c>
      <c r="S152" s="2">
        <v>0.46875</v>
      </c>
      <c r="T152" t="s">
        <v>64</v>
      </c>
      <c r="U152" t="s">
        <v>65</v>
      </c>
      <c r="V152" t="s">
        <v>8</v>
      </c>
      <c r="X152" t="s">
        <v>33</v>
      </c>
      <c r="Y152" t="s">
        <v>220</v>
      </c>
      <c r="Z152">
        <v>1</v>
      </c>
      <c r="AA152">
        <v>4</v>
      </c>
      <c r="AB152" t="s">
        <v>11</v>
      </c>
      <c r="AC152" t="s">
        <v>12</v>
      </c>
      <c r="AD152" t="s">
        <v>20</v>
      </c>
      <c r="AE152" t="s">
        <v>29</v>
      </c>
      <c r="AF152" s="1">
        <v>35989</v>
      </c>
      <c r="AG152">
        <f t="shared" ca="1" si="8"/>
        <v>27</v>
      </c>
    </row>
    <row r="153" spans="1:33" x14ac:dyDescent="0.2">
      <c r="A153" s="1">
        <v>46044</v>
      </c>
      <c r="B153" t="str">
        <f t="shared" si="6"/>
        <v>jeudi</v>
      </c>
      <c r="C153" t="str">
        <f t="shared" si="7"/>
        <v>Jour</v>
      </c>
      <c r="D153">
        <v>1492843</v>
      </c>
      <c r="E153">
        <v>2605545</v>
      </c>
      <c r="F153" t="s">
        <v>15</v>
      </c>
      <c r="G153" t="s">
        <v>1</v>
      </c>
      <c r="H153" t="s">
        <v>42</v>
      </c>
      <c r="I153" t="s">
        <v>49</v>
      </c>
      <c r="J153" t="s">
        <v>4</v>
      </c>
      <c r="K153">
        <v>60707</v>
      </c>
      <c r="L153" t="s">
        <v>5</v>
      </c>
      <c r="M153" t="s">
        <v>6</v>
      </c>
      <c r="N153" s="2">
        <v>0.59027777777777779</v>
      </c>
      <c r="O153" s="2">
        <v>0.59027777777777779</v>
      </c>
      <c r="P153" s="2">
        <v>0.59236111111111112</v>
      </c>
      <c r="Q153" s="2">
        <v>0.60416666666666663</v>
      </c>
      <c r="R153" s="2">
        <v>0.60902777777777772</v>
      </c>
      <c r="S153" s="2">
        <v>0.63055555555555554</v>
      </c>
      <c r="T153" t="s">
        <v>7</v>
      </c>
      <c r="U153" t="s">
        <v>251</v>
      </c>
      <c r="V153" t="s">
        <v>8</v>
      </c>
      <c r="X153" t="s">
        <v>33</v>
      </c>
      <c r="Y153" t="s">
        <v>257</v>
      </c>
      <c r="Z153">
        <v>1</v>
      </c>
      <c r="AA153">
        <v>4</v>
      </c>
      <c r="AB153" t="s">
        <v>11</v>
      </c>
      <c r="AC153" t="s">
        <v>12</v>
      </c>
      <c r="AD153" t="s">
        <v>20</v>
      </c>
      <c r="AE153" t="s">
        <v>29</v>
      </c>
      <c r="AF153" s="1">
        <v>21528</v>
      </c>
      <c r="AG153">
        <f t="shared" ca="1" si="8"/>
        <v>67</v>
      </c>
    </row>
    <row r="154" spans="1:33" x14ac:dyDescent="0.2">
      <c r="A154" s="1">
        <v>46045</v>
      </c>
      <c r="B154" t="str">
        <f t="shared" si="6"/>
        <v>vendredi</v>
      </c>
      <c r="C154" t="str">
        <f t="shared" si="7"/>
        <v>Jour</v>
      </c>
      <c r="D154">
        <v>1492845</v>
      </c>
      <c r="E154">
        <v>2605747</v>
      </c>
      <c r="F154" t="s">
        <v>15</v>
      </c>
      <c r="G154" t="s">
        <v>1</v>
      </c>
      <c r="H154" t="s">
        <v>42</v>
      </c>
      <c r="I154" t="s">
        <v>49</v>
      </c>
      <c r="J154" t="s">
        <v>4</v>
      </c>
      <c r="K154">
        <v>60707</v>
      </c>
      <c r="L154" t="s">
        <v>5</v>
      </c>
      <c r="M154" t="s">
        <v>6</v>
      </c>
      <c r="N154" s="2">
        <v>0.43680555555555556</v>
      </c>
      <c r="O154" s="2">
        <v>0.43819444444444444</v>
      </c>
      <c r="P154" s="2">
        <v>0.44166666666666665</v>
      </c>
      <c r="Q154" s="2">
        <v>0.46388888888888891</v>
      </c>
      <c r="R154" s="2">
        <v>0.47847222222222224</v>
      </c>
      <c r="S154" s="2">
        <v>0.49305555555555558</v>
      </c>
      <c r="T154" t="s">
        <v>8</v>
      </c>
      <c r="U154" t="s">
        <v>32</v>
      </c>
      <c r="V154" t="s">
        <v>8</v>
      </c>
      <c r="X154" t="s">
        <v>66</v>
      </c>
      <c r="Y154" t="s">
        <v>85</v>
      </c>
      <c r="Z154">
        <v>3</v>
      </c>
      <c r="AA154">
        <v>3</v>
      </c>
      <c r="AB154" t="s">
        <v>11</v>
      </c>
      <c r="AC154" t="s">
        <v>12</v>
      </c>
      <c r="AD154" t="s">
        <v>20</v>
      </c>
      <c r="AE154" t="s">
        <v>29</v>
      </c>
      <c r="AF154" s="1">
        <v>27654</v>
      </c>
      <c r="AG154">
        <f t="shared" ca="1" si="8"/>
        <v>50</v>
      </c>
    </row>
    <row r="155" spans="1:33" x14ac:dyDescent="0.2">
      <c r="A155" s="1">
        <v>46047</v>
      </c>
      <c r="B155" t="str">
        <f t="shared" si="6"/>
        <v>dimanche</v>
      </c>
      <c r="C155" t="str">
        <f t="shared" si="7"/>
        <v>Jour</v>
      </c>
      <c r="D155">
        <v>1510866</v>
      </c>
      <c r="E155">
        <v>2606233</v>
      </c>
      <c r="F155" t="s">
        <v>15</v>
      </c>
      <c r="G155" t="s">
        <v>1</v>
      </c>
      <c r="H155" t="s">
        <v>3</v>
      </c>
      <c r="I155" t="s">
        <v>26</v>
      </c>
      <c r="J155" t="s">
        <v>4</v>
      </c>
      <c r="K155">
        <v>60706</v>
      </c>
      <c r="L155" t="s">
        <v>5</v>
      </c>
      <c r="M155" t="s">
        <v>6</v>
      </c>
      <c r="N155" s="2">
        <v>0.50069444444444444</v>
      </c>
      <c r="O155" s="2">
        <v>0.50138888888888888</v>
      </c>
      <c r="P155" s="2">
        <v>0.50416666666666665</v>
      </c>
      <c r="Q155" s="2">
        <v>0.52708333333333335</v>
      </c>
      <c r="R155" s="2">
        <v>0.53194444444444444</v>
      </c>
      <c r="S155" s="2">
        <v>0.5541666666666667</v>
      </c>
      <c r="T155" t="s">
        <v>7</v>
      </c>
      <c r="U155" t="s">
        <v>251</v>
      </c>
      <c r="V155" t="s">
        <v>8</v>
      </c>
      <c r="X155" t="s">
        <v>66</v>
      </c>
      <c r="Y155" t="s">
        <v>85</v>
      </c>
      <c r="Z155">
        <v>2</v>
      </c>
      <c r="AA155">
        <v>2</v>
      </c>
      <c r="AB155" t="s">
        <v>11</v>
      </c>
      <c r="AC155" t="s">
        <v>12</v>
      </c>
      <c r="AD155" t="s">
        <v>113</v>
      </c>
      <c r="AE155" t="s">
        <v>29</v>
      </c>
      <c r="AF155" s="1">
        <v>14474</v>
      </c>
      <c r="AG155">
        <f t="shared" ca="1" si="8"/>
        <v>86</v>
      </c>
    </row>
    <row r="156" spans="1:33" x14ac:dyDescent="0.2">
      <c r="A156" s="1">
        <v>46047</v>
      </c>
      <c r="B156" t="str">
        <f t="shared" si="6"/>
        <v>dimanche</v>
      </c>
      <c r="C156" t="str">
        <f t="shared" si="7"/>
        <v>Jour</v>
      </c>
      <c r="D156">
        <v>1510864</v>
      </c>
      <c r="E156">
        <v>2606190</v>
      </c>
      <c r="F156" t="s">
        <v>15</v>
      </c>
      <c r="G156" t="s">
        <v>1</v>
      </c>
      <c r="H156" t="s">
        <v>3</v>
      </c>
      <c r="I156" t="s">
        <v>26</v>
      </c>
      <c r="J156" t="s">
        <v>4</v>
      </c>
      <c r="K156">
        <v>60706</v>
      </c>
      <c r="L156" t="s">
        <v>61</v>
      </c>
      <c r="M156" t="s">
        <v>195</v>
      </c>
      <c r="N156" s="2">
        <v>0.33402777777777776</v>
      </c>
      <c r="O156" s="2">
        <v>0.33541666666666664</v>
      </c>
      <c r="P156" s="2">
        <v>0.33680555555555558</v>
      </c>
      <c r="Q156" s="2">
        <v>0.35694444444444445</v>
      </c>
      <c r="R156" s="2">
        <v>0.36319444444444443</v>
      </c>
      <c r="S156" s="2">
        <v>0.38611111111111113</v>
      </c>
      <c r="T156" t="s">
        <v>7</v>
      </c>
      <c r="U156" t="s">
        <v>32</v>
      </c>
      <c r="V156" t="s">
        <v>8</v>
      </c>
      <c r="X156" t="s">
        <v>190</v>
      </c>
      <c r="Y156" t="s">
        <v>191</v>
      </c>
      <c r="Z156">
        <v>1</v>
      </c>
      <c r="AA156">
        <v>4</v>
      </c>
      <c r="AB156" t="s">
        <v>11</v>
      </c>
      <c r="AC156" t="s">
        <v>12</v>
      </c>
      <c r="AD156" t="s">
        <v>212</v>
      </c>
      <c r="AE156" t="s">
        <v>14</v>
      </c>
      <c r="AF156" s="1">
        <v>25683</v>
      </c>
      <c r="AG156">
        <f t="shared" ca="1" si="8"/>
        <v>55</v>
      </c>
    </row>
    <row r="157" spans="1:33" x14ac:dyDescent="0.2">
      <c r="A157" s="1">
        <v>46047</v>
      </c>
      <c r="B157" t="str">
        <f t="shared" si="6"/>
        <v>dimanche</v>
      </c>
      <c r="C157" t="str">
        <f t="shared" si="7"/>
        <v>Jour</v>
      </c>
      <c r="D157">
        <v>1510865</v>
      </c>
      <c r="E157">
        <v>2606218</v>
      </c>
      <c r="F157" t="s">
        <v>15</v>
      </c>
      <c r="G157" t="s">
        <v>16</v>
      </c>
      <c r="H157" t="s">
        <v>26</v>
      </c>
      <c r="I157" t="s">
        <v>3</v>
      </c>
      <c r="J157" t="s">
        <v>4</v>
      </c>
      <c r="K157">
        <v>60706</v>
      </c>
      <c r="L157" t="s">
        <v>61</v>
      </c>
      <c r="M157" t="s">
        <v>253</v>
      </c>
      <c r="N157" s="2">
        <v>0.43333333333333335</v>
      </c>
      <c r="O157" s="2">
        <v>0.43472222222222223</v>
      </c>
      <c r="P157" s="2">
        <v>0.43958333333333333</v>
      </c>
      <c r="Q157" s="2">
        <v>0.46736111111111112</v>
      </c>
      <c r="R157" s="2">
        <v>0.47222222222222221</v>
      </c>
      <c r="S157" s="2">
        <v>0.5</v>
      </c>
      <c r="T157" t="s">
        <v>7</v>
      </c>
      <c r="U157" t="s">
        <v>82</v>
      </c>
      <c r="V157" t="s">
        <v>8</v>
      </c>
      <c r="X157" t="s">
        <v>19</v>
      </c>
      <c r="Y157" t="s">
        <v>220</v>
      </c>
      <c r="Z157">
        <v>1</v>
      </c>
      <c r="AA157">
        <v>4</v>
      </c>
      <c r="AB157" t="s">
        <v>11</v>
      </c>
      <c r="AC157" t="s">
        <v>12</v>
      </c>
      <c r="AD157" t="s">
        <v>20</v>
      </c>
      <c r="AE157" t="s">
        <v>14</v>
      </c>
      <c r="AF157" s="1">
        <v>30839</v>
      </c>
      <c r="AG157">
        <f t="shared" ca="1" si="8"/>
        <v>41</v>
      </c>
    </row>
    <row r="158" spans="1:33" x14ac:dyDescent="0.2">
      <c r="A158" s="1">
        <v>46045</v>
      </c>
      <c r="B158" t="str">
        <f t="shared" si="6"/>
        <v>vendredi</v>
      </c>
      <c r="C158" t="str">
        <f t="shared" si="7"/>
        <v>Jour</v>
      </c>
      <c r="D158">
        <v>1492847</v>
      </c>
      <c r="E158">
        <v>2605829</v>
      </c>
      <c r="F158" t="s">
        <v>15</v>
      </c>
      <c r="G158" t="s">
        <v>16</v>
      </c>
      <c r="H158" t="s">
        <v>42</v>
      </c>
      <c r="I158" t="s">
        <v>49</v>
      </c>
      <c r="J158" t="s">
        <v>4</v>
      </c>
      <c r="K158">
        <v>60707</v>
      </c>
      <c r="L158" t="s">
        <v>5</v>
      </c>
      <c r="M158" t="s">
        <v>6</v>
      </c>
      <c r="N158" s="2">
        <v>0.65069444444444446</v>
      </c>
      <c r="O158" s="2">
        <v>0.65416666666666667</v>
      </c>
      <c r="P158" s="2">
        <v>0.6645833333333333</v>
      </c>
      <c r="Q158" s="2">
        <v>0.67847222222222225</v>
      </c>
      <c r="R158" s="2">
        <v>0.69027777777777777</v>
      </c>
      <c r="S158" s="2">
        <v>0.70833333333333337</v>
      </c>
      <c r="T158" t="s">
        <v>38</v>
      </c>
      <c r="U158" t="s">
        <v>82</v>
      </c>
      <c r="V158" t="s">
        <v>8</v>
      </c>
      <c r="X158" t="s">
        <v>19</v>
      </c>
      <c r="Y158" t="s">
        <v>220</v>
      </c>
      <c r="Z158">
        <v>2</v>
      </c>
      <c r="AA158">
        <v>4</v>
      </c>
      <c r="AB158" t="s">
        <v>11</v>
      </c>
      <c r="AC158" t="s">
        <v>12</v>
      </c>
      <c r="AD158" t="s">
        <v>20</v>
      </c>
      <c r="AE158" t="s">
        <v>14</v>
      </c>
      <c r="AF158" s="1">
        <v>20345</v>
      </c>
      <c r="AG158">
        <f t="shared" ca="1" si="8"/>
        <v>70</v>
      </c>
    </row>
    <row r="159" spans="1:33" x14ac:dyDescent="0.2">
      <c r="A159" s="1">
        <v>46027</v>
      </c>
      <c r="B159" t="str">
        <f t="shared" si="6"/>
        <v>lundi</v>
      </c>
      <c r="C159" t="str">
        <f t="shared" si="7"/>
        <v>Jour</v>
      </c>
      <c r="D159">
        <v>1500201</v>
      </c>
      <c r="E159">
        <v>2584429</v>
      </c>
      <c r="F159" t="s">
        <v>15</v>
      </c>
      <c r="G159" t="s">
        <v>16</v>
      </c>
      <c r="H159" t="s">
        <v>42</v>
      </c>
      <c r="I159" t="s">
        <v>49</v>
      </c>
      <c r="J159" t="s">
        <v>4</v>
      </c>
      <c r="K159">
        <v>60709</v>
      </c>
      <c r="L159" t="s">
        <v>5</v>
      </c>
      <c r="M159" t="s">
        <v>6</v>
      </c>
      <c r="N159" s="2">
        <v>0.46666666666666667</v>
      </c>
      <c r="O159" s="2">
        <v>0.46736111111111112</v>
      </c>
      <c r="P159" s="2">
        <v>0.47291666666666665</v>
      </c>
      <c r="Q159" s="2">
        <v>0.48888888888888887</v>
      </c>
      <c r="R159" s="2">
        <v>0.49236111111111114</v>
      </c>
      <c r="S159" s="2">
        <v>0.51041666666666663</v>
      </c>
      <c r="T159" t="s">
        <v>7</v>
      </c>
      <c r="U159" t="s">
        <v>265</v>
      </c>
      <c r="V159" t="s">
        <v>24</v>
      </c>
      <c r="X159" t="s">
        <v>192</v>
      </c>
      <c r="Y159" t="s">
        <v>193</v>
      </c>
      <c r="Z159">
        <v>2</v>
      </c>
      <c r="AA159">
        <v>3</v>
      </c>
      <c r="AB159" t="s">
        <v>11</v>
      </c>
      <c r="AC159" t="s">
        <v>12</v>
      </c>
      <c r="AD159" t="s">
        <v>20</v>
      </c>
      <c r="AE159" t="s">
        <v>29</v>
      </c>
      <c r="AF159" s="1">
        <v>17517</v>
      </c>
      <c r="AG159">
        <f t="shared" ca="1" si="8"/>
        <v>78</v>
      </c>
    </row>
    <row r="160" spans="1:33" x14ac:dyDescent="0.2">
      <c r="A160" s="1">
        <v>46043</v>
      </c>
      <c r="B160" t="str">
        <f t="shared" si="6"/>
        <v>mercredi</v>
      </c>
      <c r="C160" t="str">
        <f t="shared" si="7"/>
        <v>Jour</v>
      </c>
      <c r="D160">
        <v>1473378</v>
      </c>
      <c r="E160">
        <v>2605212</v>
      </c>
      <c r="F160" t="s">
        <v>15</v>
      </c>
      <c r="G160" t="s">
        <v>16</v>
      </c>
      <c r="H160" t="s">
        <v>42</v>
      </c>
      <c r="I160" t="s">
        <v>49</v>
      </c>
      <c r="J160" t="s">
        <v>4</v>
      </c>
      <c r="K160">
        <v>60705</v>
      </c>
      <c r="L160" t="s">
        <v>5</v>
      </c>
      <c r="M160" t="s">
        <v>6</v>
      </c>
      <c r="N160" s="2">
        <v>0.37083333333333335</v>
      </c>
      <c r="O160" s="2">
        <v>0.37222222222222223</v>
      </c>
      <c r="P160" s="2">
        <v>0.37777777777777777</v>
      </c>
      <c r="Q160" s="2">
        <v>0.40069444444444446</v>
      </c>
      <c r="R160" s="2">
        <v>0.40763888888888888</v>
      </c>
      <c r="S160" s="2">
        <v>0.41944444444444445</v>
      </c>
      <c r="T160" t="s">
        <v>7</v>
      </c>
      <c r="U160" t="s">
        <v>32</v>
      </c>
      <c r="V160" t="s">
        <v>8</v>
      </c>
      <c r="X160" t="s">
        <v>33</v>
      </c>
      <c r="Y160" t="s">
        <v>208</v>
      </c>
      <c r="Z160">
        <v>3</v>
      </c>
      <c r="AA160">
        <v>2</v>
      </c>
      <c r="AB160" t="s">
        <v>11</v>
      </c>
      <c r="AC160" t="s">
        <v>28</v>
      </c>
      <c r="AD160" t="s">
        <v>20</v>
      </c>
      <c r="AE160" t="s">
        <v>14</v>
      </c>
      <c r="AF160" s="1">
        <v>15756</v>
      </c>
      <c r="AG160">
        <f t="shared" ca="1" si="8"/>
        <v>82</v>
      </c>
    </row>
    <row r="161" spans="1:33" x14ac:dyDescent="0.2">
      <c r="A161" s="1">
        <v>46043</v>
      </c>
      <c r="B161" t="str">
        <f t="shared" si="6"/>
        <v>mercredi</v>
      </c>
      <c r="C161" t="str">
        <f t="shared" si="7"/>
        <v>Jour</v>
      </c>
      <c r="D161">
        <v>1473380</v>
      </c>
      <c r="E161">
        <v>2605275</v>
      </c>
      <c r="F161" t="s">
        <v>15</v>
      </c>
      <c r="G161" t="s">
        <v>16</v>
      </c>
      <c r="H161" t="s">
        <v>42</v>
      </c>
      <c r="I161" t="s">
        <v>49</v>
      </c>
      <c r="J161" t="s">
        <v>4</v>
      </c>
      <c r="K161">
        <v>60705</v>
      </c>
      <c r="L161" t="s">
        <v>5</v>
      </c>
      <c r="M161" t="s">
        <v>6</v>
      </c>
      <c r="N161" s="2">
        <v>0.58472222222222225</v>
      </c>
      <c r="O161" s="2">
        <v>0.58819444444444446</v>
      </c>
      <c r="P161" s="2">
        <v>0.59166666666666667</v>
      </c>
      <c r="Q161" s="2">
        <v>0.60138888888888886</v>
      </c>
      <c r="R161" s="2">
        <v>0.61041666666666672</v>
      </c>
      <c r="S161" s="2">
        <v>0.64236111111111116</v>
      </c>
      <c r="T161" t="s">
        <v>24</v>
      </c>
      <c r="U161" t="s">
        <v>265</v>
      </c>
      <c r="V161" t="s">
        <v>8</v>
      </c>
      <c r="X161" t="s">
        <v>58</v>
      </c>
      <c r="Y161" t="s">
        <v>59</v>
      </c>
      <c r="Z161">
        <v>2</v>
      </c>
      <c r="AA161">
        <v>3</v>
      </c>
      <c r="AB161" t="s">
        <v>11</v>
      </c>
      <c r="AC161" t="s">
        <v>12</v>
      </c>
      <c r="AD161" t="s">
        <v>20</v>
      </c>
      <c r="AE161" t="s">
        <v>29</v>
      </c>
      <c r="AF161" s="1">
        <v>23886</v>
      </c>
      <c r="AG161">
        <f t="shared" ca="1" si="8"/>
        <v>60</v>
      </c>
    </row>
    <row r="162" spans="1:33" x14ac:dyDescent="0.2">
      <c r="A162" s="1">
        <v>46046</v>
      </c>
      <c r="B162" t="str">
        <f t="shared" si="6"/>
        <v>samedi</v>
      </c>
      <c r="C162" t="str">
        <f t="shared" si="7"/>
        <v>Nuit</v>
      </c>
      <c r="D162">
        <v>1510863</v>
      </c>
      <c r="E162">
        <v>2606147</v>
      </c>
      <c r="F162" t="s">
        <v>0</v>
      </c>
      <c r="G162" t="s">
        <v>1</v>
      </c>
      <c r="H162" t="s">
        <v>42</v>
      </c>
      <c r="I162" t="s">
        <v>49</v>
      </c>
      <c r="J162" t="s">
        <v>4</v>
      </c>
      <c r="K162">
        <v>60706</v>
      </c>
      <c r="L162" t="s">
        <v>61</v>
      </c>
      <c r="M162" t="s">
        <v>195</v>
      </c>
      <c r="N162" s="2">
        <v>0.94097222222222221</v>
      </c>
      <c r="O162" s="2">
        <v>0.94305555555555554</v>
      </c>
      <c r="P162" s="2">
        <v>0.94444444444444442</v>
      </c>
      <c r="Q162" s="2">
        <v>0.96388888888888891</v>
      </c>
      <c r="R162" s="2">
        <v>0.96805555555555556</v>
      </c>
      <c r="S162" s="2">
        <v>9.7222222222222224E-3</v>
      </c>
      <c r="T162" t="s">
        <v>7</v>
      </c>
      <c r="U162" t="s">
        <v>263</v>
      </c>
      <c r="V162" t="s">
        <v>8</v>
      </c>
      <c r="X162" t="s">
        <v>190</v>
      </c>
      <c r="Y162" t="s">
        <v>191</v>
      </c>
      <c r="Z162">
        <v>1</v>
      </c>
      <c r="AA162">
        <v>4</v>
      </c>
      <c r="AB162" t="s">
        <v>11</v>
      </c>
      <c r="AC162" t="s">
        <v>12</v>
      </c>
      <c r="AD162" t="s">
        <v>212</v>
      </c>
      <c r="AE162" t="s">
        <v>14</v>
      </c>
      <c r="AF162" s="1">
        <v>23528</v>
      </c>
      <c r="AG162">
        <f t="shared" ca="1" si="8"/>
        <v>61</v>
      </c>
    </row>
    <row r="163" spans="1:33" x14ac:dyDescent="0.2">
      <c r="A163" s="1">
        <v>46046</v>
      </c>
      <c r="B163" t="str">
        <f t="shared" si="6"/>
        <v>samedi</v>
      </c>
      <c r="C163" t="str">
        <f t="shared" si="7"/>
        <v>Jour</v>
      </c>
      <c r="D163">
        <v>1510861</v>
      </c>
      <c r="E163">
        <v>2606109</v>
      </c>
      <c r="F163" t="s">
        <v>0</v>
      </c>
      <c r="G163" t="s">
        <v>16</v>
      </c>
      <c r="H163" t="s">
        <v>42</v>
      </c>
      <c r="I163" t="s">
        <v>49</v>
      </c>
      <c r="J163" t="s">
        <v>4</v>
      </c>
      <c r="K163">
        <v>60706</v>
      </c>
      <c r="L163" t="s">
        <v>5</v>
      </c>
      <c r="M163" t="s">
        <v>6</v>
      </c>
      <c r="N163" s="2">
        <v>0.79861111111111116</v>
      </c>
      <c r="O163" s="2">
        <v>0.8</v>
      </c>
      <c r="P163" s="2">
        <v>0.80486111111111114</v>
      </c>
      <c r="Q163" s="2">
        <v>0.81597222222222221</v>
      </c>
      <c r="R163" s="2">
        <v>0.81666666666666665</v>
      </c>
      <c r="S163" s="2">
        <v>0.83125000000000004</v>
      </c>
      <c r="T163" t="s">
        <v>43</v>
      </c>
      <c r="U163" t="s">
        <v>32</v>
      </c>
      <c r="V163" t="s">
        <v>8</v>
      </c>
      <c r="X163" t="s">
        <v>33</v>
      </c>
      <c r="Y163" t="s">
        <v>34</v>
      </c>
      <c r="Z163">
        <v>4</v>
      </c>
      <c r="AA163">
        <v>1</v>
      </c>
      <c r="AB163" t="s">
        <v>11</v>
      </c>
      <c r="AC163" t="s">
        <v>12</v>
      </c>
      <c r="AD163" t="s">
        <v>20</v>
      </c>
      <c r="AE163" t="s">
        <v>29</v>
      </c>
      <c r="AF163" s="1">
        <v>24810</v>
      </c>
      <c r="AG163">
        <f t="shared" ca="1" si="8"/>
        <v>58</v>
      </c>
    </row>
    <row r="164" spans="1:33" x14ac:dyDescent="0.2">
      <c r="A164" s="1">
        <v>46046</v>
      </c>
      <c r="B164" t="str">
        <f t="shared" si="6"/>
        <v>samedi</v>
      </c>
      <c r="C164" t="str">
        <f t="shared" si="7"/>
        <v>Jour</v>
      </c>
      <c r="D164">
        <v>1500198</v>
      </c>
      <c r="E164">
        <v>2606110</v>
      </c>
      <c r="F164" t="s">
        <v>45</v>
      </c>
      <c r="G164" t="s">
        <v>16</v>
      </c>
      <c r="H164" t="s">
        <v>37</v>
      </c>
      <c r="I164" t="s">
        <v>78</v>
      </c>
      <c r="J164" t="s">
        <v>4</v>
      </c>
      <c r="K164">
        <v>60704</v>
      </c>
      <c r="L164" t="s">
        <v>5</v>
      </c>
      <c r="M164" t="s">
        <v>6</v>
      </c>
      <c r="N164" s="2">
        <v>0.80208333333333337</v>
      </c>
      <c r="O164" s="2">
        <v>0.80347222222222225</v>
      </c>
      <c r="P164" s="2">
        <v>0.81527777777777777</v>
      </c>
      <c r="Q164" s="2">
        <v>0.83611111111111114</v>
      </c>
      <c r="R164" s="2">
        <v>0.84861111111111109</v>
      </c>
      <c r="S164" s="2">
        <v>0.88402777777777775</v>
      </c>
      <c r="T164" t="s">
        <v>64</v>
      </c>
      <c r="U164" t="s">
        <v>65</v>
      </c>
      <c r="V164" t="s">
        <v>8</v>
      </c>
      <c r="X164" t="s">
        <v>110</v>
      </c>
      <c r="Y164" t="s">
        <v>223</v>
      </c>
      <c r="Z164">
        <v>3</v>
      </c>
      <c r="AA164">
        <v>3</v>
      </c>
      <c r="AB164" t="s">
        <v>11</v>
      </c>
      <c r="AC164" t="s">
        <v>28</v>
      </c>
      <c r="AD164" t="s">
        <v>44</v>
      </c>
      <c r="AE164" t="s">
        <v>29</v>
      </c>
      <c r="AF164" s="1">
        <v>34477</v>
      </c>
      <c r="AG164">
        <f t="shared" ca="1" si="8"/>
        <v>31</v>
      </c>
    </row>
    <row r="165" spans="1:33" x14ac:dyDescent="0.2">
      <c r="A165" s="1">
        <v>46047</v>
      </c>
      <c r="B165" t="str">
        <f t="shared" si="6"/>
        <v>dimanche</v>
      </c>
      <c r="C165" t="str">
        <f t="shared" si="7"/>
        <v>Nuit</v>
      </c>
      <c r="D165">
        <v>1500200</v>
      </c>
      <c r="E165">
        <v>2606166</v>
      </c>
      <c r="F165" t="s">
        <v>45</v>
      </c>
      <c r="G165" t="s">
        <v>1</v>
      </c>
      <c r="H165" t="s">
        <v>37</v>
      </c>
      <c r="I165" t="s">
        <v>78</v>
      </c>
      <c r="J165" t="s">
        <v>4</v>
      </c>
      <c r="K165">
        <v>60704</v>
      </c>
      <c r="L165" t="s">
        <v>61</v>
      </c>
      <c r="M165" t="s">
        <v>253</v>
      </c>
      <c r="N165" s="2">
        <v>6.5277777777777782E-2</v>
      </c>
      <c r="O165" s="2">
        <v>6.5972222222222224E-2</v>
      </c>
      <c r="P165" s="2">
        <v>6.8750000000000006E-2</v>
      </c>
      <c r="Q165" s="2">
        <v>9.6527777777777782E-2</v>
      </c>
      <c r="R165" s="2">
        <v>9.8611111111111108E-2</v>
      </c>
      <c r="S165" s="2">
        <v>0.125</v>
      </c>
      <c r="T165" t="s">
        <v>7</v>
      </c>
      <c r="U165" t="s">
        <v>251</v>
      </c>
      <c r="V165" t="s">
        <v>8</v>
      </c>
      <c r="X165" t="s">
        <v>58</v>
      </c>
      <c r="Y165" t="s">
        <v>59</v>
      </c>
      <c r="Z165">
        <v>1</v>
      </c>
      <c r="AA165">
        <v>4</v>
      </c>
      <c r="AB165" t="s">
        <v>11</v>
      </c>
      <c r="AC165" t="s">
        <v>12</v>
      </c>
      <c r="AD165" t="s">
        <v>60</v>
      </c>
      <c r="AE165" t="s">
        <v>29</v>
      </c>
      <c r="AF165" s="1">
        <v>30518</v>
      </c>
      <c r="AG165">
        <f t="shared" ca="1" si="8"/>
        <v>42</v>
      </c>
    </row>
    <row r="166" spans="1:33" x14ac:dyDescent="0.2">
      <c r="A166" s="1">
        <v>46046</v>
      </c>
      <c r="B166" t="str">
        <f t="shared" si="6"/>
        <v>samedi</v>
      </c>
      <c r="C166" t="str">
        <f t="shared" si="7"/>
        <v>Nuit</v>
      </c>
      <c r="D166">
        <v>1494480</v>
      </c>
      <c r="E166">
        <v>2605958</v>
      </c>
      <c r="F166" t="s">
        <v>0</v>
      </c>
      <c r="G166" t="s">
        <v>1</v>
      </c>
      <c r="H166" t="s">
        <v>111</v>
      </c>
      <c r="I166" t="s">
        <v>23</v>
      </c>
      <c r="J166" t="s">
        <v>4</v>
      </c>
      <c r="K166">
        <v>60708</v>
      </c>
      <c r="L166" t="s">
        <v>5</v>
      </c>
      <c r="M166" t="s">
        <v>6</v>
      </c>
      <c r="N166" s="2">
        <v>0.12430555555555556</v>
      </c>
      <c r="O166" s="2">
        <v>0.12569444444444444</v>
      </c>
      <c r="P166" s="2">
        <v>0.12986111111111112</v>
      </c>
      <c r="Q166" s="2">
        <v>0.13750000000000001</v>
      </c>
      <c r="R166" s="2">
        <v>0.1451388888888889</v>
      </c>
      <c r="S166" s="2">
        <v>0.15694444444444444</v>
      </c>
      <c r="T166" t="s">
        <v>7</v>
      </c>
      <c r="U166" t="s">
        <v>263</v>
      </c>
      <c r="V166" t="s">
        <v>8</v>
      </c>
      <c r="X166" t="s">
        <v>200</v>
      </c>
      <c r="Y166" t="s">
        <v>210</v>
      </c>
      <c r="Z166">
        <v>3</v>
      </c>
      <c r="AA166">
        <v>3</v>
      </c>
      <c r="AB166" t="s">
        <v>11</v>
      </c>
      <c r="AC166" t="s">
        <v>12</v>
      </c>
      <c r="AD166" t="s">
        <v>20</v>
      </c>
      <c r="AE166" t="s">
        <v>14</v>
      </c>
      <c r="AF166" s="1">
        <v>29282</v>
      </c>
      <c r="AG166">
        <f t="shared" ca="1" si="8"/>
        <v>45</v>
      </c>
    </row>
    <row r="167" spans="1:33" x14ac:dyDescent="0.2">
      <c r="A167" s="1">
        <v>46046</v>
      </c>
      <c r="B167" t="str">
        <f t="shared" si="6"/>
        <v>samedi</v>
      </c>
      <c r="C167" t="str">
        <f t="shared" si="7"/>
        <v>Nuit</v>
      </c>
      <c r="D167">
        <v>1494478</v>
      </c>
      <c r="E167">
        <v>2605933</v>
      </c>
      <c r="F167" t="s">
        <v>0</v>
      </c>
      <c r="G167" t="s">
        <v>1</v>
      </c>
      <c r="H167" t="s">
        <v>111</v>
      </c>
      <c r="I167" t="s">
        <v>23</v>
      </c>
      <c r="J167" t="s">
        <v>4</v>
      </c>
      <c r="K167">
        <v>60708</v>
      </c>
      <c r="L167" t="s">
        <v>5</v>
      </c>
      <c r="M167" t="s">
        <v>6</v>
      </c>
      <c r="N167" s="2">
        <v>5.5555555555555558E-3</v>
      </c>
      <c r="O167" s="2">
        <v>6.9444444444444441E-3</v>
      </c>
      <c r="P167" s="2">
        <v>1.0416666666666666E-2</v>
      </c>
      <c r="S167" s="2">
        <v>2.2916666666666665E-2</v>
      </c>
      <c r="T167" t="s">
        <v>7</v>
      </c>
      <c r="U167" t="s">
        <v>263</v>
      </c>
      <c r="V167" t="s">
        <v>47</v>
      </c>
      <c r="W167" t="s">
        <v>199</v>
      </c>
      <c r="X167" t="s">
        <v>200</v>
      </c>
      <c r="Y167" t="s">
        <v>210</v>
      </c>
      <c r="Z167">
        <v>3</v>
      </c>
      <c r="AA167">
        <v>1</v>
      </c>
      <c r="AB167" t="s">
        <v>11</v>
      </c>
      <c r="AC167" t="s">
        <v>12</v>
      </c>
      <c r="AD167" t="s">
        <v>20</v>
      </c>
      <c r="AE167" t="s">
        <v>29</v>
      </c>
      <c r="AF167" s="1">
        <v>37079</v>
      </c>
      <c r="AG167">
        <f t="shared" ca="1" si="8"/>
        <v>24</v>
      </c>
    </row>
    <row r="168" spans="1:33" x14ac:dyDescent="0.2">
      <c r="A168" s="1">
        <v>46047</v>
      </c>
      <c r="B168" t="str">
        <f t="shared" si="6"/>
        <v>dimanche</v>
      </c>
      <c r="C168" t="str">
        <f t="shared" si="7"/>
        <v>Jour</v>
      </c>
      <c r="D168">
        <v>1500194</v>
      </c>
      <c r="E168">
        <v>2605864</v>
      </c>
      <c r="F168" t="s">
        <v>21</v>
      </c>
      <c r="G168" t="s">
        <v>16</v>
      </c>
      <c r="H168" t="s">
        <v>68</v>
      </c>
      <c r="I168" t="s">
        <v>55</v>
      </c>
      <c r="J168" t="s">
        <v>4</v>
      </c>
      <c r="K168">
        <v>60704</v>
      </c>
      <c r="L168" t="s">
        <v>5</v>
      </c>
      <c r="M168" t="s">
        <v>6</v>
      </c>
      <c r="N168" s="2">
        <v>0.76041666666666663</v>
      </c>
      <c r="O168" s="2">
        <v>0.76111111111111107</v>
      </c>
      <c r="P168" s="2">
        <v>0.76249999999999996</v>
      </c>
      <c r="Q168" s="2">
        <v>0.76527777777777772</v>
      </c>
      <c r="R168" s="2">
        <v>0.78472222222222221</v>
      </c>
      <c r="S168" s="2">
        <v>0.79166666666666663</v>
      </c>
      <c r="T168" t="s">
        <v>43</v>
      </c>
      <c r="U168" t="s">
        <v>251</v>
      </c>
      <c r="V168" t="s">
        <v>125</v>
      </c>
      <c r="X168" t="s">
        <v>33</v>
      </c>
      <c r="Y168" t="s">
        <v>34</v>
      </c>
      <c r="Z168">
        <v>3</v>
      </c>
      <c r="AA168">
        <v>3</v>
      </c>
      <c r="AB168" t="s">
        <v>11</v>
      </c>
      <c r="AC168" t="s">
        <v>12</v>
      </c>
      <c r="AD168" t="s">
        <v>20</v>
      </c>
      <c r="AE168" t="s">
        <v>29</v>
      </c>
      <c r="AF168" s="1">
        <v>35501</v>
      </c>
      <c r="AG168">
        <f t="shared" ca="1" si="8"/>
        <v>28</v>
      </c>
    </row>
    <row r="169" spans="1:33" x14ac:dyDescent="0.2">
      <c r="A169" s="1">
        <v>46047</v>
      </c>
      <c r="B169" t="str">
        <f t="shared" si="6"/>
        <v>dimanche</v>
      </c>
      <c r="C169" t="str">
        <f t="shared" si="7"/>
        <v>Nuit</v>
      </c>
      <c r="D169">
        <v>1500199</v>
      </c>
      <c r="E169">
        <v>2606149</v>
      </c>
      <c r="F169" t="s">
        <v>45</v>
      </c>
      <c r="G169" t="s">
        <v>1</v>
      </c>
      <c r="H169" t="s">
        <v>78</v>
      </c>
      <c r="I169" t="s">
        <v>37</v>
      </c>
      <c r="J169" t="s">
        <v>4</v>
      </c>
      <c r="K169">
        <v>60704</v>
      </c>
      <c r="L169" t="s">
        <v>5</v>
      </c>
      <c r="M169" t="s">
        <v>6</v>
      </c>
      <c r="N169" s="2">
        <v>0.95208333333333328</v>
      </c>
      <c r="O169" s="2">
        <v>0.95277777777777772</v>
      </c>
      <c r="P169" s="2">
        <v>0.95625000000000004</v>
      </c>
      <c r="Q169" s="2">
        <v>0.97916666666666663</v>
      </c>
      <c r="R169" s="2">
        <v>0.99027777777777781</v>
      </c>
      <c r="S169" s="2">
        <v>6.9444444444444441E-3</v>
      </c>
      <c r="T169" t="s">
        <v>7</v>
      </c>
      <c r="U169" t="s">
        <v>251</v>
      </c>
      <c r="V169" t="s">
        <v>8</v>
      </c>
      <c r="X169" t="s">
        <v>66</v>
      </c>
      <c r="Y169" t="s">
        <v>112</v>
      </c>
      <c r="Z169">
        <v>3</v>
      </c>
      <c r="AA169">
        <v>2</v>
      </c>
      <c r="AB169" t="s">
        <v>11</v>
      </c>
      <c r="AC169" t="s">
        <v>12</v>
      </c>
      <c r="AD169" t="s">
        <v>113</v>
      </c>
      <c r="AE169" t="s">
        <v>14</v>
      </c>
      <c r="AF169" s="1">
        <v>27840</v>
      </c>
      <c r="AG169">
        <f t="shared" ca="1" si="8"/>
        <v>49</v>
      </c>
    </row>
    <row r="170" spans="1:33" x14ac:dyDescent="0.2">
      <c r="A170" s="1">
        <v>46046</v>
      </c>
      <c r="B170" t="str">
        <f t="shared" si="6"/>
        <v>samedi</v>
      </c>
      <c r="C170" t="str">
        <f t="shared" si="7"/>
        <v>Nuit</v>
      </c>
      <c r="D170">
        <v>1510862</v>
      </c>
      <c r="E170">
        <v>2606126</v>
      </c>
      <c r="F170" t="s">
        <v>0</v>
      </c>
      <c r="G170" t="s">
        <v>1</v>
      </c>
      <c r="H170" t="s">
        <v>49</v>
      </c>
      <c r="I170" t="s">
        <v>42</v>
      </c>
      <c r="J170" t="s">
        <v>4</v>
      </c>
      <c r="K170">
        <v>60706</v>
      </c>
      <c r="L170" t="s">
        <v>61</v>
      </c>
      <c r="M170" t="s">
        <v>253</v>
      </c>
      <c r="N170" s="2">
        <v>0.84861111111111109</v>
      </c>
      <c r="O170" s="2">
        <v>0.85</v>
      </c>
      <c r="P170" s="2">
        <v>0.85624999999999996</v>
      </c>
      <c r="S170" s="2">
        <v>0.93194444444444446</v>
      </c>
      <c r="T170" t="s">
        <v>64</v>
      </c>
      <c r="U170" t="s">
        <v>65</v>
      </c>
      <c r="V170" t="s">
        <v>47</v>
      </c>
      <c r="W170" t="s">
        <v>216</v>
      </c>
      <c r="X170" t="s">
        <v>33</v>
      </c>
      <c r="Y170" t="s">
        <v>201</v>
      </c>
      <c r="Z170">
        <v>4</v>
      </c>
      <c r="AA170">
        <v>1</v>
      </c>
      <c r="AB170" t="s">
        <v>93</v>
      </c>
      <c r="AC170" t="s">
        <v>12</v>
      </c>
      <c r="AD170" t="s">
        <v>20</v>
      </c>
      <c r="AE170" t="s">
        <v>29</v>
      </c>
      <c r="AF170" s="1">
        <v>33441</v>
      </c>
      <c r="AG170">
        <f t="shared" ca="1" si="8"/>
        <v>34</v>
      </c>
    </row>
    <row r="171" spans="1:33" x14ac:dyDescent="0.2">
      <c r="A171" s="1">
        <v>46045</v>
      </c>
      <c r="B171" t="str">
        <f t="shared" si="6"/>
        <v>vendredi</v>
      </c>
      <c r="C171" t="str">
        <f t="shared" si="7"/>
        <v>Jour</v>
      </c>
      <c r="D171">
        <v>1492848</v>
      </c>
      <c r="E171">
        <v>2605847</v>
      </c>
      <c r="F171" t="s">
        <v>15</v>
      </c>
      <c r="G171" t="s">
        <v>1</v>
      </c>
      <c r="H171" t="s">
        <v>49</v>
      </c>
      <c r="I171" t="s">
        <v>42</v>
      </c>
      <c r="J171" t="s">
        <v>50</v>
      </c>
      <c r="K171">
        <v>60706</v>
      </c>
      <c r="L171" t="s">
        <v>5</v>
      </c>
      <c r="M171" t="s">
        <v>6</v>
      </c>
      <c r="N171" s="2">
        <v>0.72499999999999998</v>
      </c>
      <c r="O171" s="2">
        <v>0.72499999999999998</v>
      </c>
      <c r="P171" s="2">
        <v>0.72777777777777775</v>
      </c>
      <c r="Q171" s="2">
        <v>0.74583333333333335</v>
      </c>
      <c r="R171" s="2">
        <v>0.74861111111111112</v>
      </c>
      <c r="S171" s="2">
        <v>0.77083333333333337</v>
      </c>
      <c r="T171" t="s">
        <v>24</v>
      </c>
      <c r="U171" t="s">
        <v>251</v>
      </c>
      <c r="V171" t="s">
        <v>8</v>
      </c>
      <c r="X171" t="s">
        <v>231</v>
      </c>
      <c r="Y171" t="s">
        <v>232</v>
      </c>
      <c r="Z171">
        <v>1</v>
      </c>
      <c r="AA171">
        <v>4</v>
      </c>
      <c r="AB171" t="s">
        <v>93</v>
      </c>
      <c r="AC171" t="s">
        <v>12</v>
      </c>
      <c r="AD171" t="s">
        <v>233</v>
      </c>
      <c r="AE171" t="s">
        <v>14</v>
      </c>
      <c r="AF171" s="1">
        <v>27688</v>
      </c>
      <c r="AG171">
        <f t="shared" ca="1" si="8"/>
        <v>50</v>
      </c>
    </row>
    <row r="172" spans="1:33" x14ac:dyDescent="0.2">
      <c r="A172" s="1">
        <v>46046</v>
      </c>
      <c r="B172" t="str">
        <f t="shared" si="6"/>
        <v>samedi</v>
      </c>
      <c r="C172" t="str">
        <f t="shared" si="7"/>
        <v>Nuit</v>
      </c>
      <c r="D172">
        <v>1500196</v>
      </c>
      <c r="E172">
        <v>2605904</v>
      </c>
      <c r="F172" t="s">
        <v>45</v>
      </c>
      <c r="G172" t="s">
        <v>16</v>
      </c>
      <c r="H172" t="s">
        <v>37</v>
      </c>
      <c r="I172" t="s">
        <v>81</v>
      </c>
      <c r="J172" t="s">
        <v>4</v>
      </c>
      <c r="K172">
        <v>60704</v>
      </c>
      <c r="L172" t="s">
        <v>5</v>
      </c>
      <c r="M172" t="s">
        <v>6</v>
      </c>
      <c r="N172" s="2">
        <v>0.89375000000000004</v>
      </c>
      <c r="O172" s="2">
        <v>0.89513888888888893</v>
      </c>
      <c r="P172" s="2">
        <v>0.90625</v>
      </c>
      <c r="S172" s="2">
        <v>0.9194444444444444</v>
      </c>
      <c r="T172" t="s">
        <v>7</v>
      </c>
      <c r="U172" t="s">
        <v>18</v>
      </c>
      <c r="V172" t="s">
        <v>47</v>
      </c>
      <c r="W172" t="s">
        <v>199</v>
      </c>
      <c r="X172" t="s">
        <v>19</v>
      </c>
      <c r="Y172" t="s">
        <v>187</v>
      </c>
      <c r="Z172" t="s">
        <v>188</v>
      </c>
      <c r="AA172">
        <v>1</v>
      </c>
      <c r="AB172" t="s">
        <v>11</v>
      </c>
      <c r="AC172" t="s">
        <v>12</v>
      </c>
      <c r="AD172" t="s">
        <v>20</v>
      </c>
      <c r="AE172" t="s">
        <v>29</v>
      </c>
      <c r="AF172" s="1">
        <v>43024</v>
      </c>
      <c r="AG172">
        <f t="shared" ca="1" si="8"/>
        <v>8</v>
      </c>
    </row>
    <row r="173" spans="1:33" x14ac:dyDescent="0.2">
      <c r="A173" s="1">
        <v>46046</v>
      </c>
      <c r="B173" t="str">
        <f t="shared" si="6"/>
        <v>samedi</v>
      </c>
      <c r="C173" t="str">
        <f t="shared" si="7"/>
        <v>Jour</v>
      </c>
      <c r="D173">
        <v>1510860</v>
      </c>
      <c r="E173">
        <v>2606074</v>
      </c>
      <c r="F173" t="s">
        <v>25</v>
      </c>
      <c r="G173" t="s">
        <v>25</v>
      </c>
      <c r="H173" t="s">
        <v>189</v>
      </c>
      <c r="I173" t="s">
        <v>99</v>
      </c>
      <c r="J173" t="s">
        <v>4</v>
      </c>
      <c r="K173">
        <v>60706</v>
      </c>
      <c r="L173" t="s">
        <v>5</v>
      </c>
      <c r="M173" t="s">
        <v>6</v>
      </c>
      <c r="N173" s="2">
        <v>0.69374999999999998</v>
      </c>
      <c r="O173" s="2">
        <v>0.7</v>
      </c>
      <c r="P173" s="2">
        <v>0.70486111111111116</v>
      </c>
      <c r="Q173" s="2">
        <v>0.71597222222222223</v>
      </c>
      <c r="R173" s="2">
        <v>0.72222222222222221</v>
      </c>
      <c r="S173" s="2">
        <v>0.73958333333333337</v>
      </c>
      <c r="T173" t="s">
        <v>38</v>
      </c>
      <c r="U173" t="s">
        <v>251</v>
      </c>
      <c r="V173" t="s">
        <v>8</v>
      </c>
      <c r="X173" t="s">
        <v>19</v>
      </c>
      <c r="Y173" t="s">
        <v>40</v>
      </c>
      <c r="Z173">
        <v>1</v>
      </c>
      <c r="AA173">
        <v>3</v>
      </c>
      <c r="AB173" t="s">
        <v>11</v>
      </c>
      <c r="AC173" t="s">
        <v>12</v>
      </c>
      <c r="AD173" t="s">
        <v>20</v>
      </c>
      <c r="AE173" t="s">
        <v>14</v>
      </c>
      <c r="AF173" s="1">
        <v>12520</v>
      </c>
      <c r="AG173">
        <f t="shared" ca="1" si="8"/>
        <v>91</v>
      </c>
    </row>
    <row r="174" spans="1:33" x14ac:dyDescent="0.2">
      <c r="A174" s="1">
        <v>46045</v>
      </c>
      <c r="B174" t="str">
        <f t="shared" si="6"/>
        <v>vendredi</v>
      </c>
      <c r="C174" t="str">
        <f t="shared" si="7"/>
        <v>Jour</v>
      </c>
      <c r="D174">
        <v>1510943</v>
      </c>
      <c r="E174">
        <v>2605841</v>
      </c>
      <c r="F174" t="s">
        <v>25</v>
      </c>
      <c r="G174" t="s">
        <v>25</v>
      </c>
      <c r="H174" t="s">
        <v>189</v>
      </c>
      <c r="I174" t="s">
        <v>234</v>
      </c>
      <c r="J174" t="s">
        <v>4</v>
      </c>
      <c r="K174">
        <v>60709</v>
      </c>
      <c r="L174" t="s">
        <v>5</v>
      </c>
      <c r="M174" t="s">
        <v>6</v>
      </c>
      <c r="N174" s="2">
        <v>0.4201388888888889</v>
      </c>
      <c r="O174" s="2">
        <v>0.71805555555555556</v>
      </c>
      <c r="P174" s="2">
        <v>0.73402777777777772</v>
      </c>
      <c r="Q174" s="2">
        <v>0.74305555555555558</v>
      </c>
      <c r="R174" s="2">
        <v>0.76111111111111107</v>
      </c>
      <c r="S174" s="2">
        <v>0.78125</v>
      </c>
      <c r="T174" t="s">
        <v>7</v>
      </c>
      <c r="U174" t="s">
        <v>251</v>
      </c>
      <c r="V174" t="s">
        <v>8</v>
      </c>
      <c r="X174" t="s">
        <v>19</v>
      </c>
      <c r="Y174" t="s">
        <v>211</v>
      </c>
      <c r="Z174">
        <v>1</v>
      </c>
      <c r="AA174">
        <v>4</v>
      </c>
      <c r="AB174" t="s">
        <v>11</v>
      </c>
      <c r="AC174" t="s">
        <v>12</v>
      </c>
      <c r="AD174" t="s">
        <v>20</v>
      </c>
      <c r="AE174" t="s">
        <v>29</v>
      </c>
      <c r="AF174" s="1">
        <v>37357</v>
      </c>
      <c r="AG174">
        <f t="shared" ca="1" si="8"/>
        <v>23</v>
      </c>
    </row>
    <row r="175" spans="1:33" x14ac:dyDescent="0.2">
      <c r="A175" s="1">
        <v>46046</v>
      </c>
      <c r="B175" t="str">
        <f t="shared" si="6"/>
        <v>samedi</v>
      </c>
      <c r="C175" t="str">
        <f t="shared" si="7"/>
        <v>Jour</v>
      </c>
      <c r="D175">
        <v>1494481</v>
      </c>
      <c r="E175">
        <v>2605995</v>
      </c>
      <c r="F175" t="s">
        <v>15</v>
      </c>
      <c r="G175" t="s">
        <v>16</v>
      </c>
      <c r="H175" t="s">
        <v>3</v>
      </c>
      <c r="I175" t="s">
        <v>63</v>
      </c>
      <c r="J175" t="s">
        <v>4</v>
      </c>
      <c r="K175">
        <v>60708</v>
      </c>
      <c r="L175" t="s">
        <v>5</v>
      </c>
      <c r="M175" t="s">
        <v>6</v>
      </c>
      <c r="N175" s="2">
        <v>0.35416666666666669</v>
      </c>
      <c r="O175" s="2">
        <v>0.35555555555555557</v>
      </c>
      <c r="P175" s="2">
        <v>0.3611111111111111</v>
      </c>
      <c r="Q175" s="2">
        <v>0.38541666666666669</v>
      </c>
      <c r="R175" s="2">
        <v>0.39513888888888887</v>
      </c>
      <c r="S175" s="2">
        <v>0.40972222222222221</v>
      </c>
      <c r="T175" t="s">
        <v>7</v>
      </c>
      <c r="U175" t="s">
        <v>251</v>
      </c>
      <c r="V175" t="s">
        <v>8</v>
      </c>
      <c r="X175" t="s">
        <v>190</v>
      </c>
      <c r="Y175" t="s">
        <v>191</v>
      </c>
      <c r="Z175">
        <v>2</v>
      </c>
      <c r="AA175">
        <v>3</v>
      </c>
      <c r="AB175" t="s">
        <v>11</v>
      </c>
      <c r="AC175" t="s">
        <v>12</v>
      </c>
      <c r="AD175" t="s">
        <v>107</v>
      </c>
      <c r="AE175" t="s">
        <v>14</v>
      </c>
      <c r="AF175" s="1">
        <v>14283</v>
      </c>
      <c r="AG175">
        <f t="shared" ca="1" si="8"/>
        <v>87</v>
      </c>
    </row>
    <row r="176" spans="1:33" x14ac:dyDescent="0.2">
      <c r="A176" s="1">
        <v>46041</v>
      </c>
      <c r="B176" t="str">
        <f t="shared" si="6"/>
        <v>lundi</v>
      </c>
      <c r="C176" t="str">
        <f t="shared" si="7"/>
        <v>Nuit</v>
      </c>
      <c r="D176">
        <v>1500169</v>
      </c>
      <c r="E176">
        <v>2588151</v>
      </c>
      <c r="F176" t="s">
        <v>21</v>
      </c>
      <c r="G176" t="s">
        <v>16</v>
      </c>
      <c r="H176" t="s">
        <v>3</v>
      </c>
      <c r="I176" t="s">
        <v>67</v>
      </c>
      <c r="J176" t="s">
        <v>4</v>
      </c>
      <c r="K176">
        <v>60704</v>
      </c>
      <c r="L176" t="s">
        <v>5</v>
      </c>
      <c r="M176" t="s">
        <v>6</v>
      </c>
      <c r="N176" s="2">
        <v>0.91041666666666665</v>
      </c>
      <c r="O176" s="2">
        <v>0.91597222222222219</v>
      </c>
      <c r="P176" s="2">
        <v>0.91874999999999996</v>
      </c>
      <c r="Q176" s="2">
        <v>0.94652777777777775</v>
      </c>
      <c r="R176" s="2">
        <v>0.95347222222222228</v>
      </c>
      <c r="S176" s="2">
        <v>0.96875</v>
      </c>
      <c r="T176" t="s">
        <v>7</v>
      </c>
      <c r="U176" t="s">
        <v>251</v>
      </c>
      <c r="V176" t="s">
        <v>8</v>
      </c>
      <c r="X176" t="s">
        <v>74</v>
      </c>
      <c r="Y176" t="s">
        <v>75</v>
      </c>
      <c r="Z176">
        <v>3</v>
      </c>
      <c r="AA176">
        <v>2</v>
      </c>
      <c r="AB176" t="s">
        <v>11</v>
      </c>
      <c r="AC176" t="s">
        <v>28</v>
      </c>
      <c r="AD176" t="s">
        <v>44</v>
      </c>
      <c r="AE176" t="s">
        <v>14</v>
      </c>
      <c r="AF176" s="1">
        <v>16485</v>
      </c>
      <c r="AG176">
        <f t="shared" ca="1" si="8"/>
        <v>80</v>
      </c>
    </row>
    <row r="177" spans="1:33" x14ac:dyDescent="0.2">
      <c r="A177" s="1">
        <v>46025</v>
      </c>
      <c r="B177" t="str">
        <f t="shared" si="6"/>
        <v>samedi</v>
      </c>
      <c r="C177" t="str">
        <f t="shared" si="7"/>
        <v>Nuit</v>
      </c>
      <c r="D177">
        <v>1500331</v>
      </c>
      <c r="E177">
        <v>2583827</v>
      </c>
      <c r="F177" t="s">
        <v>0</v>
      </c>
      <c r="G177" t="s">
        <v>16</v>
      </c>
      <c r="H177" t="s">
        <v>3</v>
      </c>
      <c r="I177" t="s">
        <v>2</v>
      </c>
      <c r="J177" t="s">
        <v>4</v>
      </c>
      <c r="K177">
        <v>60709</v>
      </c>
      <c r="L177" t="s">
        <v>5</v>
      </c>
      <c r="M177" t="s">
        <v>6</v>
      </c>
      <c r="N177" s="2">
        <v>0.25833333333333336</v>
      </c>
      <c r="O177" s="2">
        <v>0.26111111111111113</v>
      </c>
      <c r="P177" s="2">
        <v>0.26319444444444445</v>
      </c>
      <c r="Q177" s="2">
        <v>0.28402777777777777</v>
      </c>
      <c r="R177" s="2">
        <v>0.29097222222222224</v>
      </c>
      <c r="S177" s="2">
        <v>0.30555555555555558</v>
      </c>
      <c r="T177" t="s">
        <v>7</v>
      </c>
      <c r="U177" t="s">
        <v>251</v>
      </c>
      <c r="V177" t="s">
        <v>8</v>
      </c>
      <c r="X177" t="s">
        <v>190</v>
      </c>
      <c r="Y177" t="s">
        <v>191</v>
      </c>
      <c r="Z177">
        <v>2</v>
      </c>
      <c r="AA177">
        <v>3</v>
      </c>
      <c r="AB177" t="s">
        <v>11</v>
      </c>
      <c r="AC177" t="s">
        <v>12</v>
      </c>
      <c r="AD177" t="s">
        <v>212</v>
      </c>
      <c r="AE177" t="s">
        <v>29</v>
      </c>
      <c r="AF177" s="1">
        <v>20144</v>
      </c>
      <c r="AG177">
        <f t="shared" ca="1" si="8"/>
        <v>70</v>
      </c>
    </row>
    <row r="178" spans="1:33" x14ac:dyDescent="0.2">
      <c r="A178" s="1">
        <v>46046</v>
      </c>
      <c r="B178" t="str">
        <f t="shared" si="6"/>
        <v>samedi</v>
      </c>
      <c r="C178" t="str">
        <f t="shared" si="7"/>
        <v>Jour</v>
      </c>
      <c r="D178">
        <v>1510859</v>
      </c>
      <c r="E178">
        <v>2606030</v>
      </c>
      <c r="F178" t="s">
        <v>25</v>
      </c>
      <c r="G178" t="s">
        <v>25</v>
      </c>
      <c r="H178" t="s">
        <v>99</v>
      </c>
      <c r="I178" t="s">
        <v>189</v>
      </c>
      <c r="J178" t="s">
        <v>4</v>
      </c>
      <c r="K178">
        <v>60706</v>
      </c>
      <c r="L178" t="s">
        <v>5</v>
      </c>
      <c r="M178" t="s">
        <v>6</v>
      </c>
      <c r="N178" s="2">
        <v>0.53333333333333333</v>
      </c>
      <c r="O178" s="2">
        <v>0.53819444444444442</v>
      </c>
      <c r="P178" s="2">
        <v>0.54583333333333328</v>
      </c>
      <c r="Q178" s="2">
        <v>0.56736111111111109</v>
      </c>
      <c r="R178" s="2">
        <v>0.58194444444444449</v>
      </c>
      <c r="S178" s="2">
        <v>0.59583333333333333</v>
      </c>
      <c r="T178" t="s">
        <v>7</v>
      </c>
      <c r="U178" t="s">
        <v>82</v>
      </c>
      <c r="V178" t="s">
        <v>8</v>
      </c>
      <c r="X178" t="s">
        <v>33</v>
      </c>
      <c r="Y178" t="s">
        <v>235</v>
      </c>
      <c r="Z178">
        <v>3</v>
      </c>
      <c r="AA178">
        <v>3</v>
      </c>
      <c r="AB178" t="s">
        <v>11</v>
      </c>
      <c r="AC178" t="s">
        <v>12</v>
      </c>
      <c r="AD178" t="s">
        <v>20</v>
      </c>
      <c r="AE178" t="s">
        <v>29</v>
      </c>
      <c r="AF178" s="1">
        <v>16355</v>
      </c>
      <c r="AG178">
        <f t="shared" ca="1" si="8"/>
        <v>81</v>
      </c>
    </row>
    <row r="179" spans="1:33" x14ac:dyDescent="0.2">
      <c r="A179" s="1">
        <v>46046</v>
      </c>
      <c r="B179" t="str">
        <f t="shared" si="6"/>
        <v>samedi</v>
      </c>
      <c r="C179" t="str">
        <f t="shared" si="7"/>
        <v>Jour</v>
      </c>
      <c r="D179">
        <v>1494482</v>
      </c>
      <c r="E179">
        <v>2606012</v>
      </c>
      <c r="F179" t="s">
        <v>15</v>
      </c>
      <c r="G179" t="s">
        <v>16</v>
      </c>
      <c r="H179" t="s">
        <v>63</v>
      </c>
      <c r="I179" t="s">
        <v>3</v>
      </c>
      <c r="J179" t="s">
        <v>4</v>
      </c>
      <c r="K179">
        <v>60708</v>
      </c>
      <c r="L179" t="s">
        <v>5</v>
      </c>
      <c r="M179" t="s">
        <v>6</v>
      </c>
      <c r="N179" s="2">
        <v>0.44444444444444442</v>
      </c>
      <c r="O179" s="2">
        <v>0.44513888888888886</v>
      </c>
      <c r="P179" s="2">
        <v>0.45277777777777778</v>
      </c>
      <c r="Q179" s="2">
        <v>0.48402777777777778</v>
      </c>
      <c r="R179" s="2">
        <v>0.49027777777777776</v>
      </c>
      <c r="S179" s="2">
        <v>0.5</v>
      </c>
      <c r="T179" t="s">
        <v>7</v>
      </c>
      <c r="U179" t="s">
        <v>54</v>
      </c>
      <c r="V179" t="s">
        <v>8</v>
      </c>
      <c r="X179" t="s">
        <v>101</v>
      </c>
      <c r="Y179" t="s">
        <v>208</v>
      </c>
      <c r="Z179">
        <v>3</v>
      </c>
      <c r="AA179">
        <v>3</v>
      </c>
      <c r="AB179" t="s">
        <v>11</v>
      </c>
      <c r="AC179" t="s">
        <v>12</v>
      </c>
      <c r="AD179" t="s">
        <v>20</v>
      </c>
      <c r="AE179" t="s">
        <v>14</v>
      </c>
      <c r="AF179" s="1">
        <v>17405</v>
      </c>
      <c r="AG179">
        <f t="shared" ca="1" si="8"/>
        <v>78</v>
      </c>
    </row>
    <row r="180" spans="1:33" x14ac:dyDescent="0.2">
      <c r="A180" s="1">
        <v>46045</v>
      </c>
      <c r="B180" t="str">
        <f t="shared" si="6"/>
        <v>vendredi</v>
      </c>
      <c r="C180" t="str">
        <f t="shared" si="7"/>
        <v>Nuit</v>
      </c>
      <c r="D180">
        <v>1500197</v>
      </c>
      <c r="E180">
        <v>2605924</v>
      </c>
      <c r="F180" t="s">
        <v>45</v>
      </c>
      <c r="G180" t="s">
        <v>16</v>
      </c>
      <c r="H180" t="s">
        <v>81</v>
      </c>
      <c r="I180" t="s">
        <v>37</v>
      </c>
      <c r="J180" t="s">
        <v>4</v>
      </c>
      <c r="K180">
        <v>60704</v>
      </c>
      <c r="L180" t="s">
        <v>5</v>
      </c>
      <c r="M180" t="s">
        <v>6</v>
      </c>
      <c r="N180" s="2">
        <v>0.96111111111111114</v>
      </c>
      <c r="O180" s="2">
        <v>0.96250000000000002</v>
      </c>
      <c r="P180" s="2">
        <v>0.96805555555555556</v>
      </c>
      <c r="Q180" s="2">
        <v>0.97569444444444442</v>
      </c>
      <c r="R180" s="2">
        <v>0.98472222222222228</v>
      </c>
      <c r="S180" s="2">
        <v>1.3888888888888889E-3</v>
      </c>
      <c r="T180" t="s">
        <v>43</v>
      </c>
      <c r="U180" t="s">
        <v>18</v>
      </c>
      <c r="V180" t="s">
        <v>8</v>
      </c>
      <c r="X180" t="s">
        <v>19</v>
      </c>
      <c r="Y180" t="s">
        <v>126</v>
      </c>
      <c r="Z180">
        <v>2</v>
      </c>
      <c r="AA180">
        <v>3</v>
      </c>
      <c r="AB180" t="s">
        <v>11</v>
      </c>
      <c r="AC180" t="s">
        <v>12</v>
      </c>
      <c r="AD180" t="s">
        <v>20</v>
      </c>
      <c r="AE180" t="s">
        <v>14</v>
      </c>
      <c r="AF180" s="1">
        <v>23489</v>
      </c>
      <c r="AG180">
        <f t="shared" ca="1" si="8"/>
        <v>61</v>
      </c>
    </row>
    <row r="181" spans="1:33" x14ac:dyDescent="0.2">
      <c r="A181" s="1">
        <v>46045</v>
      </c>
      <c r="B181" t="str">
        <f t="shared" si="6"/>
        <v>vendredi</v>
      </c>
      <c r="C181" t="str">
        <f t="shared" si="7"/>
        <v>Jour</v>
      </c>
      <c r="D181">
        <v>1500195</v>
      </c>
      <c r="E181">
        <v>2605881</v>
      </c>
      <c r="F181" t="s">
        <v>45</v>
      </c>
      <c r="G181" t="s">
        <v>16</v>
      </c>
      <c r="H181" t="s">
        <v>81</v>
      </c>
      <c r="I181" t="s">
        <v>37</v>
      </c>
      <c r="J181" t="s">
        <v>4</v>
      </c>
      <c r="K181">
        <v>60704</v>
      </c>
      <c r="L181" t="s">
        <v>61</v>
      </c>
      <c r="M181" t="s">
        <v>253</v>
      </c>
      <c r="N181" s="2">
        <v>0.81597222222222221</v>
      </c>
      <c r="O181" s="2">
        <v>0.81736111111111109</v>
      </c>
      <c r="P181" s="2">
        <v>0.82013888888888886</v>
      </c>
      <c r="Q181" s="2">
        <v>0.84791666666666665</v>
      </c>
      <c r="R181" s="2">
        <v>0.85902777777777772</v>
      </c>
      <c r="S181" s="2">
        <v>0.87152777777777779</v>
      </c>
      <c r="T181" t="s">
        <v>43</v>
      </c>
      <c r="U181" t="s">
        <v>251</v>
      </c>
      <c r="V181" t="s">
        <v>125</v>
      </c>
      <c r="X181" t="s">
        <v>33</v>
      </c>
      <c r="Y181" t="s">
        <v>220</v>
      </c>
      <c r="Z181">
        <v>1</v>
      </c>
      <c r="AA181">
        <v>3</v>
      </c>
      <c r="AB181" t="s">
        <v>11</v>
      </c>
      <c r="AC181" t="s">
        <v>12</v>
      </c>
      <c r="AD181" t="s">
        <v>20</v>
      </c>
      <c r="AE181" t="s">
        <v>14</v>
      </c>
      <c r="AF181" s="1">
        <v>39062</v>
      </c>
      <c r="AG181">
        <f t="shared" ca="1" si="8"/>
        <v>19</v>
      </c>
    </row>
    <row r="182" spans="1:33" x14ac:dyDescent="0.2">
      <c r="A182" s="1">
        <v>46043</v>
      </c>
      <c r="B182" t="str">
        <f t="shared" si="6"/>
        <v>mercredi</v>
      </c>
      <c r="C182" t="str">
        <f t="shared" si="7"/>
        <v>Nuit</v>
      </c>
      <c r="D182">
        <v>1510933</v>
      </c>
      <c r="E182">
        <v>2605166</v>
      </c>
      <c r="F182" t="s">
        <v>0</v>
      </c>
      <c r="G182" t="s">
        <v>16</v>
      </c>
      <c r="H182" t="s">
        <v>99</v>
      </c>
      <c r="I182" t="s">
        <v>26</v>
      </c>
      <c r="J182" t="s">
        <v>4</v>
      </c>
      <c r="K182">
        <v>60709</v>
      </c>
      <c r="L182" t="s">
        <v>5</v>
      </c>
      <c r="M182" t="s">
        <v>6</v>
      </c>
      <c r="N182" s="2">
        <v>4.8611111111111112E-2</v>
      </c>
      <c r="O182" s="2">
        <v>0.05</v>
      </c>
      <c r="P182" s="2">
        <v>5.2777777777777778E-2</v>
      </c>
      <c r="Q182" s="2">
        <v>6.8750000000000006E-2</v>
      </c>
      <c r="R182" s="2">
        <v>7.0833333333333331E-2</v>
      </c>
      <c r="S182" s="2">
        <v>8.2638888888888887E-2</v>
      </c>
      <c r="T182" t="s">
        <v>7</v>
      </c>
      <c r="U182" t="s">
        <v>263</v>
      </c>
      <c r="V182" t="s">
        <v>24</v>
      </c>
      <c r="X182" t="s">
        <v>209</v>
      </c>
      <c r="Y182" t="s">
        <v>80</v>
      </c>
      <c r="Z182">
        <v>2</v>
      </c>
      <c r="AA182">
        <v>2</v>
      </c>
      <c r="AB182" t="s">
        <v>93</v>
      </c>
      <c r="AC182" t="s">
        <v>12</v>
      </c>
      <c r="AD182" t="s">
        <v>20</v>
      </c>
      <c r="AE182" t="s">
        <v>29</v>
      </c>
      <c r="AF182" s="1">
        <v>19032</v>
      </c>
      <c r="AG182">
        <f t="shared" ca="1" si="8"/>
        <v>74</v>
      </c>
    </row>
    <row r="183" spans="1:33" x14ac:dyDescent="0.2">
      <c r="A183" s="1">
        <v>46045</v>
      </c>
      <c r="B183" t="str">
        <f t="shared" si="6"/>
        <v>vendredi</v>
      </c>
      <c r="C183" t="str">
        <f t="shared" si="7"/>
        <v>Jour</v>
      </c>
      <c r="D183">
        <v>1494476</v>
      </c>
      <c r="E183">
        <v>2605877</v>
      </c>
      <c r="F183" t="s">
        <v>0</v>
      </c>
      <c r="G183" t="s">
        <v>1</v>
      </c>
      <c r="H183" t="s">
        <v>111</v>
      </c>
      <c r="I183" t="s">
        <v>23</v>
      </c>
      <c r="J183" t="s">
        <v>4</v>
      </c>
      <c r="K183">
        <v>60708</v>
      </c>
      <c r="L183" t="s">
        <v>5</v>
      </c>
      <c r="M183" t="s">
        <v>6</v>
      </c>
      <c r="N183" s="2">
        <v>0.80138888888888893</v>
      </c>
      <c r="O183" s="2">
        <v>0.80277777777777781</v>
      </c>
      <c r="P183" s="2">
        <v>0.80972222222222223</v>
      </c>
      <c r="Q183" s="2">
        <v>0.84722222222222221</v>
      </c>
      <c r="R183" s="2">
        <v>0.85347222222222219</v>
      </c>
      <c r="S183" s="2">
        <v>0.87152777777777779</v>
      </c>
      <c r="T183" t="s">
        <v>7</v>
      </c>
      <c r="U183" t="s">
        <v>265</v>
      </c>
      <c r="V183" t="s">
        <v>8</v>
      </c>
      <c r="X183" t="s">
        <v>200</v>
      </c>
      <c r="Y183" t="s">
        <v>210</v>
      </c>
      <c r="Z183">
        <v>2</v>
      </c>
      <c r="AA183">
        <v>2</v>
      </c>
      <c r="AB183" t="s">
        <v>11</v>
      </c>
      <c r="AC183" t="s">
        <v>12</v>
      </c>
      <c r="AD183" t="s">
        <v>20</v>
      </c>
      <c r="AE183" t="s">
        <v>14</v>
      </c>
      <c r="AF183" s="1">
        <v>16033</v>
      </c>
      <c r="AG183">
        <f t="shared" ca="1" si="8"/>
        <v>82</v>
      </c>
    </row>
    <row r="184" spans="1:33" x14ac:dyDescent="0.2">
      <c r="A184" s="1">
        <v>46042</v>
      </c>
      <c r="B184" t="str">
        <f t="shared" si="6"/>
        <v>mardi</v>
      </c>
      <c r="C184" t="str">
        <f t="shared" si="7"/>
        <v>Nuit</v>
      </c>
      <c r="D184">
        <v>1510926</v>
      </c>
      <c r="E184">
        <v>2588199</v>
      </c>
      <c r="F184" t="s">
        <v>0</v>
      </c>
      <c r="G184" t="s">
        <v>16</v>
      </c>
      <c r="H184" t="s">
        <v>111</v>
      </c>
      <c r="I184" t="s">
        <v>99</v>
      </c>
      <c r="J184" t="s">
        <v>4</v>
      </c>
      <c r="K184">
        <v>60709</v>
      </c>
      <c r="L184" t="s">
        <v>5</v>
      </c>
      <c r="M184" t="s">
        <v>6</v>
      </c>
      <c r="N184" s="2">
        <v>0.19444444444444445</v>
      </c>
      <c r="O184" s="2">
        <v>0.19513888888888889</v>
      </c>
      <c r="P184" s="2">
        <v>0.19722222222222222</v>
      </c>
      <c r="S184" s="2">
        <v>0.22500000000000001</v>
      </c>
      <c r="T184" t="s">
        <v>7</v>
      </c>
      <c r="U184" t="s">
        <v>32</v>
      </c>
      <c r="V184" t="s">
        <v>47</v>
      </c>
      <c r="W184" t="s">
        <v>199</v>
      </c>
      <c r="X184" t="s">
        <v>19</v>
      </c>
      <c r="Y184" t="s">
        <v>236</v>
      </c>
      <c r="Z184">
        <v>4</v>
      </c>
      <c r="AA184">
        <v>1</v>
      </c>
      <c r="AB184" t="s">
        <v>11</v>
      </c>
      <c r="AC184" t="s">
        <v>12</v>
      </c>
      <c r="AD184" t="s">
        <v>20</v>
      </c>
      <c r="AE184" t="s">
        <v>29</v>
      </c>
      <c r="AF184" s="1">
        <v>22074</v>
      </c>
      <c r="AG184">
        <f t="shared" ca="1" si="8"/>
        <v>65</v>
      </c>
    </row>
    <row r="185" spans="1:33" x14ac:dyDescent="0.2">
      <c r="A185" s="1">
        <v>46045</v>
      </c>
      <c r="B185" t="str">
        <f t="shared" si="6"/>
        <v>vendredi</v>
      </c>
      <c r="C185" t="str">
        <f t="shared" si="7"/>
        <v>Nuit</v>
      </c>
      <c r="D185">
        <v>1494470</v>
      </c>
      <c r="E185">
        <v>2505697</v>
      </c>
      <c r="F185" t="s">
        <v>0</v>
      </c>
      <c r="G185" t="s">
        <v>1</v>
      </c>
      <c r="H185" t="s">
        <v>23</v>
      </c>
      <c r="I185" t="s">
        <v>37</v>
      </c>
      <c r="J185" t="s">
        <v>4</v>
      </c>
      <c r="K185">
        <v>60708</v>
      </c>
      <c r="L185" t="s">
        <v>61</v>
      </c>
      <c r="M185" t="s">
        <v>195</v>
      </c>
      <c r="N185" s="2">
        <v>0.11458333333333333</v>
      </c>
      <c r="O185" s="2">
        <v>0.11597222222222223</v>
      </c>
      <c r="P185" s="2">
        <v>0.11874999999999999</v>
      </c>
      <c r="Q185" s="2">
        <v>0.14305555555555555</v>
      </c>
      <c r="R185" s="2">
        <v>0.14722222222222223</v>
      </c>
      <c r="S185" s="2">
        <v>0.1701388888888889</v>
      </c>
      <c r="T185" t="s">
        <v>7</v>
      </c>
      <c r="U185" t="s">
        <v>265</v>
      </c>
      <c r="V185" t="s">
        <v>8</v>
      </c>
      <c r="X185" t="s">
        <v>100</v>
      </c>
      <c r="Y185" t="s">
        <v>217</v>
      </c>
      <c r="Z185">
        <v>2</v>
      </c>
      <c r="AA185">
        <v>3</v>
      </c>
      <c r="AB185" t="s">
        <v>11</v>
      </c>
      <c r="AC185" t="s">
        <v>12</v>
      </c>
      <c r="AD185" t="s">
        <v>36</v>
      </c>
      <c r="AE185" t="s">
        <v>29</v>
      </c>
      <c r="AF185" s="1">
        <v>16950</v>
      </c>
      <c r="AG185">
        <f t="shared" ca="1" si="8"/>
        <v>79</v>
      </c>
    </row>
    <row r="186" spans="1:33" x14ac:dyDescent="0.2">
      <c r="A186" s="1">
        <v>46045</v>
      </c>
      <c r="B186" t="str">
        <f t="shared" si="6"/>
        <v>vendredi</v>
      </c>
      <c r="C186" t="str">
        <f t="shared" si="7"/>
        <v>Jour</v>
      </c>
      <c r="D186">
        <v>1500193</v>
      </c>
      <c r="E186">
        <v>2605833</v>
      </c>
      <c r="F186" t="s">
        <v>21</v>
      </c>
      <c r="G186" t="s">
        <v>16</v>
      </c>
      <c r="H186" t="s">
        <v>55</v>
      </c>
      <c r="I186" t="s">
        <v>68</v>
      </c>
      <c r="J186" t="s">
        <v>4</v>
      </c>
      <c r="K186">
        <v>60704</v>
      </c>
      <c r="L186" t="s">
        <v>5</v>
      </c>
      <c r="M186" t="s">
        <v>6</v>
      </c>
      <c r="N186" s="2">
        <v>0.68611111111111112</v>
      </c>
      <c r="O186" s="2">
        <v>0.68888888888888888</v>
      </c>
      <c r="P186" s="2">
        <v>0.69791666666666663</v>
      </c>
      <c r="Q186" s="2">
        <v>0.70833333333333337</v>
      </c>
      <c r="R186" s="2">
        <v>0.72222222222222221</v>
      </c>
      <c r="S186" s="2">
        <v>0.74305555555555558</v>
      </c>
      <c r="T186" t="s">
        <v>7</v>
      </c>
      <c r="U186" t="s">
        <v>18</v>
      </c>
      <c r="V186" t="s">
        <v>8</v>
      </c>
      <c r="X186" t="s">
        <v>33</v>
      </c>
      <c r="Y186" t="s">
        <v>122</v>
      </c>
      <c r="Z186">
        <v>3</v>
      </c>
      <c r="AA186">
        <v>2</v>
      </c>
      <c r="AB186" t="s">
        <v>11</v>
      </c>
      <c r="AC186" t="s">
        <v>12</v>
      </c>
      <c r="AD186" t="s">
        <v>20</v>
      </c>
      <c r="AE186" t="s">
        <v>14</v>
      </c>
      <c r="AF186" s="1">
        <v>36977</v>
      </c>
      <c r="AG186">
        <f t="shared" ca="1" si="8"/>
        <v>24</v>
      </c>
    </row>
    <row r="187" spans="1:33" x14ac:dyDescent="0.2">
      <c r="A187" s="1">
        <v>46045</v>
      </c>
      <c r="B187" t="str">
        <f t="shared" si="6"/>
        <v>vendredi</v>
      </c>
      <c r="C187" t="str">
        <f t="shared" si="7"/>
        <v>Jour</v>
      </c>
      <c r="D187">
        <v>1494472</v>
      </c>
      <c r="E187">
        <v>2605758</v>
      </c>
      <c r="F187" t="s">
        <v>56</v>
      </c>
      <c r="G187" t="s">
        <v>92</v>
      </c>
      <c r="H187" t="s">
        <v>78</v>
      </c>
      <c r="I187" t="s">
        <v>115</v>
      </c>
      <c r="J187" t="s">
        <v>258</v>
      </c>
      <c r="K187">
        <v>60708</v>
      </c>
      <c r="L187" t="s">
        <v>5</v>
      </c>
      <c r="M187" t="s">
        <v>6</v>
      </c>
      <c r="N187" s="2">
        <v>0.47569444444444442</v>
      </c>
      <c r="O187" s="2">
        <v>0.4777777777777778</v>
      </c>
      <c r="P187" s="2">
        <v>0.48194444444444445</v>
      </c>
      <c r="Q187" s="2">
        <v>0.49236111111111114</v>
      </c>
      <c r="R187" s="2">
        <v>0.50972222222222219</v>
      </c>
      <c r="S187" s="2">
        <v>0.54166666666666663</v>
      </c>
      <c r="T187" t="s">
        <v>125</v>
      </c>
      <c r="U187" t="s">
        <v>32</v>
      </c>
      <c r="V187" t="s">
        <v>8</v>
      </c>
      <c r="X187" t="s">
        <v>33</v>
      </c>
      <c r="Y187" t="s">
        <v>237</v>
      </c>
      <c r="Z187">
        <v>3</v>
      </c>
      <c r="AA187">
        <v>2</v>
      </c>
      <c r="AB187" t="s">
        <v>11</v>
      </c>
      <c r="AC187" t="s">
        <v>12</v>
      </c>
      <c r="AD187" t="s">
        <v>20</v>
      </c>
      <c r="AE187" t="s">
        <v>14</v>
      </c>
      <c r="AF187" s="1">
        <v>25817</v>
      </c>
      <c r="AG187">
        <f t="shared" ca="1" si="8"/>
        <v>55</v>
      </c>
    </row>
    <row r="188" spans="1:33" x14ac:dyDescent="0.2">
      <c r="A188" s="1">
        <v>46045</v>
      </c>
      <c r="B188" t="str">
        <f t="shared" si="6"/>
        <v>vendredi</v>
      </c>
      <c r="C188" t="str">
        <f t="shared" si="7"/>
        <v>Jour</v>
      </c>
      <c r="D188">
        <v>1494475</v>
      </c>
      <c r="E188">
        <v>2605837</v>
      </c>
      <c r="F188" t="s">
        <v>56</v>
      </c>
      <c r="G188" t="s">
        <v>1</v>
      </c>
      <c r="H188" t="s">
        <v>115</v>
      </c>
      <c r="I188" t="s">
        <v>78</v>
      </c>
      <c r="J188" t="s">
        <v>258</v>
      </c>
      <c r="K188">
        <v>60708</v>
      </c>
      <c r="L188" t="s">
        <v>61</v>
      </c>
      <c r="M188" t="s">
        <v>195</v>
      </c>
      <c r="N188" s="2">
        <v>0.69722222222222219</v>
      </c>
      <c r="O188" s="2">
        <v>0.69861111111111107</v>
      </c>
      <c r="P188" s="2">
        <v>0.70277777777777772</v>
      </c>
      <c r="S188" s="2">
        <v>0.72986111111111107</v>
      </c>
      <c r="T188" t="s">
        <v>87</v>
      </c>
      <c r="U188" t="s">
        <v>265</v>
      </c>
      <c r="V188" t="s">
        <v>47</v>
      </c>
      <c r="W188" t="s">
        <v>83</v>
      </c>
      <c r="X188" t="s">
        <v>19</v>
      </c>
      <c r="Y188" t="s">
        <v>220</v>
      </c>
      <c r="Z188">
        <v>2</v>
      </c>
      <c r="AA188">
        <v>1</v>
      </c>
      <c r="AB188" t="s">
        <v>11</v>
      </c>
      <c r="AC188" t="s">
        <v>12</v>
      </c>
      <c r="AD188" t="s">
        <v>20</v>
      </c>
      <c r="AE188" t="s">
        <v>29</v>
      </c>
      <c r="AF188" s="1">
        <v>39656</v>
      </c>
      <c r="AG188">
        <f t="shared" ca="1" si="8"/>
        <v>17</v>
      </c>
    </row>
    <row r="189" spans="1:33" x14ac:dyDescent="0.2">
      <c r="A189" s="1">
        <v>46045</v>
      </c>
      <c r="B189" t="str">
        <f t="shared" si="6"/>
        <v>vendredi</v>
      </c>
      <c r="C189" t="str">
        <f t="shared" si="7"/>
        <v>Jour</v>
      </c>
      <c r="D189">
        <v>1494474</v>
      </c>
      <c r="E189">
        <v>2605813</v>
      </c>
      <c r="F189" t="s">
        <v>56</v>
      </c>
      <c r="G189" t="s">
        <v>16</v>
      </c>
      <c r="H189" t="s">
        <v>78</v>
      </c>
      <c r="I189" t="s">
        <v>115</v>
      </c>
      <c r="J189" t="s">
        <v>258</v>
      </c>
      <c r="K189">
        <v>60708</v>
      </c>
      <c r="L189" t="s">
        <v>5</v>
      </c>
      <c r="M189" t="s">
        <v>6</v>
      </c>
      <c r="N189" s="2">
        <v>0.59375</v>
      </c>
      <c r="O189" s="2">
        <v>0.59513888888888888</v>
      </c>
      <c r="P189" s="2">
        <v>0.60069444444444442</v>
      </c>
      <c r="Q189" s="2">
        <v>0.62152777777777779</v>
      </c>
      <c r="R189" s="2">
        <v>0.62638888888888888</v>
      </c>
      <c r="S189" s="2">
        <v>0.65625</v>
      </c>
      <c r="T189" t="s">
        <v>7</v>
      </c>
      <c r="U189" t="s">
        <v>71</v>
      </c>
      <c r="V189" t="s">
        <v>8</v>
      </c>
      <c r="X189" t="s">
        <v>19</v>
      </c>
      <c r="Y189" t="s">
        <v>211</v>
      </c>
      <c r="Z189">
        <v>2</v>
      </c>
      <c r="AA189">
        <v>3</v>
      </c>
      <c r="AB189" t="s">
        <v>11</v>
      </c>
      <c r="AC189" t="s">
        <v>12</v>
      </c>
      <c r="AD189" t="s">
        <v>20</v>
      </c>
      <c r="AE189" t="s">
        <v>14</v>
      </c>
      <c r="AF189" s="1">
        <v>23863</v>
      </c>
      <c r="AG189">
        <f t="shared" ca="1" si="8"/>
        <v>60</v>
      </c>
    </row>
    <row r="190" spans="1:33" x14ac:dyDescent="0.2">
      <c r="A190" s="1">
        <v>46045</v>
      </c>
      <c r="B190" t="str">
        <f t="shared" si="6"/>
        <v>vendredi</v>
      </c>
      <c r="C190" t="str">
        <f t="shared" si="7"/>
        <v>Jour</v>
      </c>
      <c r="D190">
        <v>1510942</v>
      </c>
      <c r="E190">
        <v>2605820</v>
      </c>
      <c r="F190" t="s">
        <v>25</v>
      </c>
      <c r="G190" t="s">
        <v>25</v>
      </c>
      <c r="H190" t="s">
        <v>234</v>
      </c>
      <c r="I190" t="s">
        <v>189</v>
      </c>
      <c r="J190" t="s">
        <v>4</v>
      </c>
      <c r="K190">
        <v>60709</v>
      </c>
      <c r="L190" t="s">
        <v>5</v>
      </c>
      <c r="M190" t="s">
        <v>6</v>
      </c>
      <c r="N190" s="2">
        <v>0.6069444444444444</v>
      </c>
      <c r="O190" s="2">
        <v>0.61111111111111116</v>
      </c>
      <c r="P190" s="2">
        <v>0.62013888888888891</v>
      </c>
      <c r="Q190" s="2">
        <v>0.63402777777777775</v>
      </c>
      <c r="R190" s="2">
        <v>0.65208333333333335</v>
      </c>
      <c r="S190" s="2">
        <v>0.66666666666666663</v>
      </c>
      <c r="T190" t="s">
        <v>64</v>
      </c>
      <c r="U190" t="s">
        <v>65</v>
      </c>
      <c r="V190" t="s">
        <v>8</v>
      </c>
      <c r="X190" t="s">
        <v>74</v>
      </c>
      <c r="Y190" t="s">
        <v>75</v>
      </c>
      <c r="Z190">
        <v>3</v>
      </c>
      <c r="AA190">
        <v>2</v>
      </c>
      <c r="AB190" t="s">
        <v>11</v>
      </c>
      <c r="AC190" t="s">
        <v>28</v>
      </c>
      <c r="AD190" t="s">
        <v>20</v>
      </c>
      <c r="AE190" t="s">
        <v>29</v>
      </c>
      <c r="AF190" s="1">
        <v>28966</v>
      </c>
      <c r="AG190">
        <f t="shared" ca="1" si="8"/>
        <v>46</v>
      </c>
    </row>
    <row r="191" spans="1:33" x14ac:dyDescent="0.2">
      <c r="A191" s="1">
        <v>46045</v>
      </c>
      <c r="B191" t="str">
        <f t="shared" si="6"/>
        <v>vendredi</v>
      </c>
      <c r="C191" t="str">
        <f t="shared" si="7"/>
        <v>Jour</v>
      </c>
      <c r="D191">
        <v>1494473</v>
      </c>
      <c r="E191">
        <v>2605792</v>
      </c>
      <c r="F191" t="s">
        <v>56</v>
      </c>
      <c r="G191" t="s">
        <v>1</v>
      </c>
      <c r="H191" t="s">
        <v>115</v>
      </c>
      <c r="I191" t="s">
        <v>78</v>
      </c>
      <c r="J191" t="s">
        <v>258</v>
      </c>
      <c r="K191">
        <v>60708</v>
      </c>
      <c r="L191" t="s">
        <v>5</v>
      </c>
      <c r="M191" t="s">
        <v>6</v>
      </c>
      <c r="N191" s="2">
        <v>0.5444444444444444</v>
      </c>
      <c r="O191" s="2">
        <v>0.5444444444444444</v>
      </c>
      <c r="P191" s="2">
        <v>0.55000000000000004</v>
      </c>
      <c r="Q191" s="2">
        <v>0.55833333333333335</v>
      </c>
      <c r="R191" s="2">
        <v>0.5625</v>
      </c>
      <c r="S191" s="2">
        <v>0.59375</v>
      </c>
      <c r="T191" t="s">
        <v>87</v>
      </c>
      <c r="U191" t="s">
        <v>104</v>
      </c>
      <c r="V191" t="s">
        <v>8</v>
      </c>
      <c r="X191" t="s">
        <v>214</v>
      </c>
      <c r="Y191" t="s">
        <v>215</v>
      </c>
      <c r="Z191">
        <v>1</v>
      </c>
      <c r="AA191">
        <v>4</v>
      </c>
      <c r="AB191" t="s">
        <v>93</v>
      </c>
      <c r="AC191" t="s">
        <v>12</v>
      </c>
      <c r="AD191" t="s">
        <v>20</v>
      </c>
      <c r="AE191" t="s">
        <v>14</v>
      </c>
      <c r="AF191" s="1">
        <v>25645</v>
      </c>
      <c r="AG191">
        <f t="shared" ca="1" si="8"/>
        <v>55</v>
      </c>
    </row>
    <row r="192" spans="1:33" x14ac:dyDescent="0.2">
      <c r="A192" s="1">
        <v>46045</v>
      </c>
      <c r="B192" t="str">
        <f t="shared" si="6"/>
        <v>vendredi</v>
      </c>
      <c r="C192" t="str">
        <f t="shared" si="7"/>
        <v>Jour</v>
      </c>
      <c r="D192">
        <v>1492849</v>
      </c>
      <c r="E192">
        <v>2605789</v>
      </c>
      <c r="F192" t="s">
        <v>15</v>
      </c>
      <c r="G192" t="s">
        <v>16</v>
      </c>
      <c r="H192" t="s">
        <v>49</v>
      </c>
      <c r="I192" t="s">
        <v>49</v>
      </c>
      <c r="J192" t="s">
        <v>50</v>
      </c>
      <c r="K192">
        <v>60707</v>
      </c>
      <c r="L192" t="s">
        <v>5</v>
      </c>
      <c r="M192" t="s">
        <v>6</v>
      </c>
      <c r="N192" s="2">
        <v>0.53749999999999998</v>
      </c>
      <c r="O192" s="2">
        <v>0.54027777777777775</v>
      </c>
      <c r="P192" s="2">
        <v>0.5444444444444444</v>
      </c>
      <c r="Q192" s="2">
        <v>0.56319444444444444</v>
      </c>
      <c r="R192" s="2">
        <v>0.57708333333333328</v>
      </c>
      <c r="S192" s="2">
        <v>0.59375</v>
      </c>
      <c r="T192" t="s">
        <v>87</v>
      </c>
      <c r="U192" t="s">
        <v>265</v>
      </c>
      <c r="V192" t="s">
        <v>8</v>
      </c>
      <c r="X192" t="s">
        <v>74</v>
      </c>
      <c r="Y192" t="s">
        <v>75</v>
      </c>
      <c r="Z192">
        <v>3</v>
      </c>
      <c r="AA192">
        <v>3</v>
      </c>
      <c r="AB192" t="s">
        <v>11</v>
      </c>
      <c r="AC192" t="s">
        <v>28</v>
      </c>
      <c r="AD192" t="s">
        <v>127</v>
      </c>
      <c r="AE192" t="s">
        <v>29</v>
      </c>
      <c r="AF192" s="1">
        <v>41941</v>
      </c>
      <c r="AG192">
        <f t="shared" ca="1" si="8"/>
        <v>11</v>
      </c>
    </row>
    <row r="193" spans="1:33" x14ac:dyDescent="0.2">
      <c r="A193" s="1">
        <v>46045</v>
      </c>
      <c r="B193" t="str">
        <f t="shared" si="6"/>
        <v>vendredi</v>
      </c>
      <c r="C193" t="str">
        <f t="shared" si="7"/>
        <v>Jour</v>
      </c>
      <c r="D193">
        <v>1492844</v>
      </c>
      <c r="E193">
        <v>2505726</v>
      </c>
      <c r="F193" t="s">
        <v>15</v>
      </c>
      <c r="G193" t="s">
        <v>16</v>
      </c>
      <c r="H193" t="s">
        <v>49</v>
      </c>
      <c r="I193" t="s">
        <v>42</v>
      </c>
      <c r="J193" t="s">
        <v>50</v>
      </c>
      <c r="K193">
        <v>60707</v>
      </c>
      <c r="L193" t="s">
        <v>5</v>
      </c>
      <c r="M193" t="s">
        <v>6</v>
      </c>
      <c r="N193" s="2">
        <v>0.36249999999999999</v>
      </c>
      <c r="O193" s="2">
        <v>0.36388888888888887</v>
      </c>
      <c r="P193" s="2">
        <v>0.37638888888888888</v>
      </c>
      <c r="S193" s="2">
        <v>0.39930555555555558</v>
      </c>
      <c r="T193" t="s">
        <v>7</v>
      </c>
      <c r="U193" t="s">
        <v>102</v>
      </c>
      <c r="V193" t="s">
        <v>86</v>
      </c>
      <c r="X193" t="s">
        <v>19</v>
      </c>
      <c r="Y193" t="s">
        <v>236</v>
      </c>
      <c r="Z193">
        <v>3</v>
      </c>
      <c r="AA193">
        <v>1</v>
      </c>
      <c r="AB193" t="s">
        <v>11</v>
      </c>
      <c r="AC193" t="s">
        <v>12</v>
      </c>
      <c r="AD193" t="s">
        <v>20</v>
      </c>
      <c r="AE193" t="s">
        <v>14</v>
      </c>
      <c r="AF193" s="1">
        <v>19436</v>
      </c>
      <c r="AG193">
        <f t="shared" ca="1" si="8"/>
        <v>72</v>
      </c>
    </row>
    <row r="194" spans="1:33" x14ac:dyDescent="0.2">
      <c r="A194" s="1">
        <v>46042</v>
      </c>
      <c r="B194" t="str">
        <f t="shared" ref="B194:B257" si="9">TEXT(A194,"JJJJ")</f>
        <v>mardi</v>
      </c>
      <c r="C194" t="str">
        <f t="shared" ref="C194:C257" si="10">IF(AND(HOUR(N194)&gt;=7,HOUR(N194)&lt;=19),"Jour","Nuit")</f>
        <v>Jour</v>
      </c>
      <c r="D194">
        <v>1500495</v>
      </c>
      <c r="E194">
        <v>2605053</v>
      </c>
      <c r="F194" t="s">
        <v>56</v>
      </c>
      <c r="G194" t="s">
        <v>1</v>
      </c>
      <c r="H194" t="s">
        <v>68</v>
      </c>
      <c r="I194" t="s">
        <v>57</v>
      </c>
      <c r="J194" t="s">
        <v>4</v>
      </c>
      <c r="K194">
        <v>60706</v>
      </c>
      <c r="L194" t="s">
        <v>5</v>
      </c>
      <c r="M194" t="s">
        <v>6</v>
      </c>
      <c r="N194" s="2">
        <v>0.66180555555555554</v>
      </c>
      <c r="O194" s="2">
        <v>0.66388888888888886</v>
      </c>
      <c r="P194" s="2">
        <v>0.66597222222222219</v>
      </c>
      <c r="Q194" s="2">
        <v>0.6791666666666667</v>
      </c>
      <c r="R194" s="2">
        <v>0.69097222222222221</v>
      </c>
      <c r="S194" s="2">
        <v>0.70833333333333337</v>
      </c>
      <c r="T194" t="s">
        <v>7</v>
      </c>
      <c r="U194" t="s">
        <v>251</v>
      </c>
      <c r="V194" t="s">
        <v>8</v>
      </c>
      <c r="X194" t="s">
        <v>190</v>
      </c>
      <c r="Y194" t="s">
        <v>191</v>
      </c>
      <c r="Z194">
        <v>2</v>
      </c>
      <c r="AA194">
        <v>3</v>
      </c>
      <c r="AB194" t="s">
        <v>11</v>
      </c>
      <c r="AC194" t="s">
        <v>12</v>
      </c>
      <c r="AD194" t="s">
        <v>13</v>
      </c>
      <c r="AE194" t="s">
        <v>14</v>
      </c>
      <c r="AF194" s="1">
        <v>35831</v>
      </c>
      <c r="AG194">
        <f t="shared" ref="AG194:AG257" ca="1" si="11">INT((TODAY()-AF194)/365.25)</f>
        <v>28</v>
      </c>
    </row>
    <row r="195" spans="1:33" x14ac:dyDescent="0.2">
      <c r="A195" s="1">
        <v>46044</v>
      </c>
      <c r="B195" t="str">
        <f t="shared" si="9"/>
        <v>jeudi</v>
      </c>
      <c r="C195" t="str">
        <f t="shared" si="10"/>
        <v>Nuit</v>
      </c>
      <c r="D195">
        <v>1494469</v>
      </c>
      <c r="E195">
        <v>2605657</v>
      </c>
      <c r="F195" t="s">
        <v>0</v>
      </c>
      <c r="G195" t="s">
        <v>16</v>
      </c>
      <c r="H195" t="s">
        <v>37</v>
      </c>
      <c r="I195" t="s">
        <v>23</v>
      </c>
      <c r="J195" t="s">
        <v>4</v>
      </c>
      <c r="K195">
        <v>60708</v>
      </c>
      <c r="L195" t="s">
        <v>5</v>
      </c>
      <c r="M195" t="s">
        <v>6</v>
      </c>
      <c r="N195" s="2">
        <v>0.8881944444444444</v>
      </c>
      <c r="O195" s="2">
        <v>0.88958333333333328</v>
      </c>
      <c r="P195" s="2">
        <v>0.90416666666666667</v>
      </c>
      <c r="Q195" s="2">
        <v>0.92013888888888884</v>
      </c>
      <c r="R195" s="2">
        <v>0.93055555555555558</v>
      </c>
      <c r="S195" s="2">
        <v>0.96250000000000002</v>
      </c>
      <c r="T195" t="s">
        <v>86</v>
      </c>
      <c r="U195" t="s">
        <v>250</v>
      </c>
      <c r="V195" t="s">
        <v>8</v>
      </c>
      <c r="X195" t="s">
        <v>214</v>
      </c>
      <c r="Y195" t="s">
        <v>215</v>
      </c>
      <c r="Z195">
        <v>1</v>
      </c>
      <c r="AA195">
        <v>4</v>
      </c>
      <c r="AB195" t="s">
        <v>11</v>
      </c>
      <c r="AC195" t="s">
        <v>12</v>
      </c>
      <c r="AD195" t="s">
        <v>20</v>
      </c>
      <c r="AE195" t="s">
        <v>29</v>
      </c>
      <c r="AF195" s="1">
        <v>16354</v>
      </c>
      <c r="AG195">
        <f t="shared" ca="1" si="11"/>
        <v>81</v>
      </c>
    </row>
    <row r="196" spans="1:33" x14ac:dyDescent="0.2">
      <c r="A196" s="1">
        <v>46044</v>
      </c>
      <c r="B196" t="str">
        <f t="shared" si="9"/>
        <v>jeudi</v>
      </c>
      <c r="C196" t="str">
        <f t="shared" si="10"/>
        <v>Jour</v>
      </c>
      <c r="D196">
        <v>1510940</v>
      </c>
      <c r="E196">
        <v>2605577</v>
      </c>
      <c r="F196" t="s">
        <v>25</v>
      </c>
      <c r="G196" t="s">
        <v>25</v>
      </c>
      <c r="H196" t="s">
        <v>22</v>
      </c>
      <c r="I196" t="s">
        <v>37</v>
      </c>
      <c r="J196" t="s">
        <v>4</v>
      </c>
      <c r="K196">
        <v>60709</v>
      </c>
      <c r="L196" t="s">
        <v>5</v>
      </c>
      <c r="M196" t="s">
        <v>6</v>
      </c>
      <c r="N196" s="2">
        <v>0.6791666666666667</v>
      </c>
      <c r="O196" s="2">
        <v>0.68472222222222223</v>
      </c>
      <c r="P196" s="2">
        <v>0.6958333333333333</v>
      </c>
      <c r="Q196" s="2">
        <v>0.71111111111111114</v>
      </c>
      <c r="R196" s="2">
        <v>0.72152777777777777</v>
      </c>
      <c r="S196" s="2">
        <v>0.73263888888888884</v>
      </c>
      <c r="T196" t="s">
        <v>64</v>
      </c>
      <c r="U196" t="s">
        <v>65</v>
      </c>
      <c r="V196" t="s">
        <v>8</v>
      </c>
      <c r="X196" t="s">
        <v>33</v>
      </c>
      <c r="Y196" t="s">
        <v>128</v>
      </c>
      <c r="Z196">
        <v>2</v>
      </c>
      <c r="AA196">
        <v>4</v>
      </c>
      <c r="AB196" t="s">
        <v>11</v>
      </c>
      <c r="AC196" t="s">
        <v>12</v>
      </c>
      <c r="AD196" t="s">
        <v>20</v>
      </c>
      <c r="AE196" t="s">
        <v>29</v>
      </c>
      <c r="AF196" s="1">
        <v>37641</v>
      </c>
      <c r="AG196">
        <f t="shared" ca="1" si="11"/>
        <v>23</v>
      </c>
    </row>
    <row r="197" spans="1:33" x14ac:dyDescent="0.2">
      <c r="A197" s="1">
        <v>46045</v>
      </c>
      <c r="B197" t="str">
        <f t="shared" si="9"/>
        <v>vendredi</v>
      </c>
      <c r="C197" t="str">
        <f t="shared" si="10"/>
        <v>Jour</v>
      </c>
      <c r="D197">
        <v>1510941</v>
      </c>
      <c r="E197">
        <v>2605715</v>
      </c>
      <c r="F197" t="s">
        <v>25</v>
      </c>
      <c r="G197" t="s">
        <v>25</v>
      </c>
      <c r="H197" t="s">
        <v>189</v>
      </c>
      <c r="I197" t="s">
        <v>234</v>
      </c>
      <c r="J197" t="s">
        <v>4</v>
      </c>
      <c r="K197">
        <v>60709</v>
      </c>
      <c r="L197" t="s">
        <v>5</v>
      </c>
      <c r="M197" t="s">
        <v>6</v>
      </c>
      <c r="N197" s="2">
        <v>0.3034722222222222</v>
      </c>
      <c r="O197" s="2">
        <v>0.30972222222222223</v>
      </c>
      <c r="P197" s="2">
        <v>0.32500000000000001</v>
      </c>
      <c r="Q197" s="2">
        <v>0.34513888888888888</v>
      </c>
      <c r="R197" s="2">
        <v>0.35486111111111113</v>
      </c>
      <c r="S197" s="2">
        <v>0.37430555555555556</v>
      </c>
      <c r="T197" t="s">
        <v>52</v>
      </c>
      <c r="U197" t="s">
        <v>251</v>
      </c>
      <c r="V197" t="s">
        <v>8</v>
      </c>
      <c r="X197" t="s">
        <v>33</v>
      </c>
      <c r="Y197" t="s">
        <v>237</v>
      </c>
      <c r="Z197">
        <v>3</v>
      </c>
      <c r="AA197">
        <v>3</v>
      </c>
      <c r="AB197" t="s">
        <v>11</v>
      </c>
      <c r="AC197" t="s">
        <v>12</v>
      </c>
      <c r="AD197" t="s">
        <v>36</v>
      </c>
      <c r="AE197" t="s">
        <v>14</v>
      </c>
      <c r="AF197" s="1">
        <v>30761</v>
      </c>
      <c r="AG197">
        <f t="shared" ca="1" si="11"/>
        <v>41</v>
      </c>
    </row>
    <row r="198" spans="1:33" x14ac:dyDescent="0.2">
      <c r="A198" s="1">
        <v>46045</v>
      </c>
      <c r="B198" t="str">
        <f t="shared" si="9"/>
        <v>vendredi</v>
      </c>
      <c r="C198" t="str">
        <f t="shared" si="10"/>
        <v>Jour</v>
      </c>
      <c r="D198">
        <v>1500494</v>
      </c>
      <c r="E198">
        <v>2588095</v>
      </c>
      <c r="F198" t="s">
        <v>25</v>
      </c>
      <c r="G198" t="s">
        <v>25</v>
      </c>
      <c r="H198" t="s">
        <v>234</v>
      </c>
      <c r="I198" t="s">
        <v>68</v>
      </c>
      <c r="J198" t="s">
        <v>4</v>
      </c>
      <c r="K198">
        <v>60706</v>
      </c>
      <c r="L198" t="s">
        <v>5</v>
      </c>
      <c r="M198" t="s">
        <v>6</v>
      </c>
      <c r="N198" s="2">
        <v>0.73472222222222228</v>
      </c>
      <c r="O198" s="2">
        <v>0.74027777777777781</v>
      </c>
      <c r="P198" s="2">
        <v>0.75</v>
      </c>
      <c r="Q198" s="2">
        <v>0.76875000000000004</v>
      </c>
      <c r="R198" s="2">
        <v>0.77777777777777779</v>
      </c>
      <c r="S198" s="2">
        <v>0.79166666666666663</v>
      </c>
      <c r="T198" t="s">
        <v>7</v>
      </c>
      <c r="U198" t="s">
        <v>32</v>
      </c>
      <c r="V198" t="s">
        <v>8</v>
      </c>
      <c r="X198" t="s">
        <v>33</v>
      </c>
      <c r="Y198" t="s">
        <v>208</v>
      </c>
      <c r="Z198">
        <v>3</v>
      </c>
      <c r="AA198">
        <v>3</v>
      </c>
      <c r="AB198" t="s">
        <v>11</v>
      </c>
      <c r="AC198" t="s">
        <v>28</v>
      </c>
      <c r="AD198" t="s">
        <v>44</v>
      </c>
      <c r="AE198" t="s">
        <v>14</v>
      </c>
      <c r="AF198" s="1">
        <v>13137</v>
      </c>
      <c r="AG198">
        <f t="shared" ca="1" si="11"/>
        <v>90</v>
      </c>
    </row>
    <row r="199" spans="1:33" x14ac:dyDescent="0.2">
      <c r="A199" s="1">
        <v>46044</v>
      </c>
      <c r="B199" t="str">
        <f t="shared" si="9"/>
        <v>jeudi</v>
      </c>
      <c r="C199" t="str">
        <f t="shared" si="10"/>
        <v>Jour</v>
      </c>
      <c r="D199">
        <v>1500188</v>
      </c>
      <c r="E199">
        <v>2605496</v>
      </c>
      <c r="F199" t="s">
        <v>21</v>
      </c>
      <c r="G199" t="s">
        <v>1</v>
      </c>
      <c r="H199" t="s">
        <v>55</v>
      </c>
      <c r="I199" t="s">
        <v>81</v>
      </c>
      <c r="J199" t="s">
        <v>4</v>
      </c>
      <c r="K199">
        <v>60704</v>
      </c>
      <c r="L199" t="s">
        <v>5</v>
      </c>
      <c r="M199" t="s">
        <v>6</v>
      </c>
      <c r="N199" s="2">
        <v>0.47083333333333333</v>
      </c>
      <c r="O199" s="2">
        <v>0.47083333333333333</v>
      </c>
      <c r="P199" s="2">
        <v>0.47222222222222221</v>
      </c>
      <c r="Q199" s="2">
        <v>0.49305555555555558</v>
      </c>
      <c r="R199" s="2">
        <v>0.51041666666666663</v>
      </c>
      <c r="S199" s="2">
        <v>0.53125</v>
      </c>
      <c r="T199" t="s">
        <v>7</v>
      </c>
      <c r="U199" t="s">
        <v>32</v>
      </c>
      <c r="V199" t="s">
        <v>8</v>
      </c>
      <c r="X199" t="s">
        <v>252</v>
      </c>
      <c r="Y199" t="s">
        <v>48</v>
      </c>
      <c r="Z199" t="s">
        <v>188</v>
      </c>
      <c r="AA199">
        <v>2</v>
      </c>
      <c r="AB199" t="s">
        <v>11</v>
      </c>
      <c r="AC199" t="s">
        <v>12</v>
      </c>
      <c r="AD199" t="s">
        <v>20</v>
      </c>
      <c r="AE199" t="s">
        <v>29</v>
      </c>
      <c r="AF199" s="1">
        <v>43669</v>
      </c>
      <c r="AG199">
        <f t="shared" ca="1" si="11"/>
        <v>6</v>
      </c>
    </row>
    <row r="200" spans="1:33" x14ac:dyDescent="0.2">
      <c r="A200" s="1">
        <v>46042</v>
      </c>
      <c r="B200" t="str">
        <f t="shared" si="9"/>
        <v>mardi</v>
      </c>
      <c r="C200" t="str">
        <f t="shared" si="10"/>
        <v>Jour</v>
      </c>
      <c r="D200">
        <v>1473377</v>
      </c>
      <c r="E200">
        <v>2605077</v>
      </c>
      <c r="F200" t="s">
        <v>25</v>
      </c>
      <c r="G200" t="s">
        <v>25</v>
      </c>
      <c r="H200" t="s">
        <v>55</v>
      </c>
      <c r="I200" t="s">
        <v>129</v>
      </c>
      <c r="J200" t="s">
        <v>4</v>
      </c>
      <c r="K200">
        <v>60705</v>
      </c>
      <c r="L200" t="s">
        <v>5</v>
      </c>
      <c r="M200" t="s">
        <v>6</v>
      </c>
      <c r="N200" s="2">
        <v>0.72222222222222221</v>
      </c>
      <c r="O200" s="2">
        <v>0.72638888888888886</v>
      </c>
      <c r="P200" s="2">
        <v>0.74652777777777779</v>
      </c>
      <c r="Q200" s="2">
        <v>0.7944444444444444</v>
      </c>
      <c r="R200" s="2">
        <v>0.80138888888888893</v>
      </c>
      <c r="S200" s="2">
        <v>0.82638888888888884</v>
      </c>
      <c r="T200" t="s">
        <v>7</v>
      </c>
      <c r="U200" t="s">
        <v>251</v>
      </c>
      <c r="V200" t="s">
        <v>8</v>
      </c>
      <c r="X200" t="s">
        <v>74</v>
      </c>
      <c r="Y200" t="s">
        <v>75</v>
      </c>
      <c r="Z200">
        <v>2</v>
      </c>
      <c r="AA200">
        <v>4</v>
      </c>
      <c r="AB200" t="s">
        <v>11</v>
      </c>
      <c r="AC200" t="s">
        <v>28</v>
      </c>
      <c r="AD200" t="s">
        <v>44</v>
      </c>
      <c r="AE200" t="s">
        <v>29</v>
      </c>
      <c r="AF200" s="1">
        <v>13966</v>
      </c>
      <c r="AG200">
        <f t="shared" ca="1" si="11"/>
        <v>87</v>
      </c>
    </row>
    <row r="201" spans="1:33" x14ac:dyDescent="0.2">
      <c r="A201" s="1">
        <v>46044</v>
      </c>
      <c r="B201" t="str">
        <f t="shared" si="9"/>
        <v>jeudi</v>
      </c>
      <c r="C201" t="str">
        <f t="shared" si="10"/>
        <v>Nuit</v>
      </c>
      <c r="D201">
        <v>1500185</v>
      </c>
      <c r="E201">
        <v>2605430</v>
      </c>
      <c r="F201" t="s">
        <v>45</v>
      </c>
      <c r="G201" t="s">
        <v>1</v>
      </c>
      <c r="H201" t="s">
        <v>41</v>
      </c>
      <c r="I201" t="s">
        <v>103</v>
      </c>
      <c r="J201" t="s">
        <v>4</v>
      </c>
      <c r="K201">
        <v>60704</v>
      </c>
      <c r="L201" t="s">
        <v>5</v>
      </c>
      <c r="M201" t="s">
        <v>6</v>
      </c>
      <c r="N201" s="2">
        <v>0.1701388888888889</v>
      </c>
      <c r="O201" s="2">
        <v>0.17152777777777778</v>
      </c>
      <c r="P201" s="2">
        <v>0.17847222222222223</v>
      </c>
      <c r="Q201" s="2">
        <v>0.18888888888888888</v>
      </c>
      <c r="R201" s="2">
        <v>0.19236111111111112</v>
      </c>
      <c r="S201" s="2">
        <v>0.20833333333333334</v>
      </c>
      <c r="T201" t="s">
        <v>7</v>
      </c>
      <c r="U201" t="s">
        <v>251</v>
      </c>
      <c r="V201" t="s">
        <v>8</v>
      </c>
      <c r="X201" t="s">
        <v>238</v>
      </c>
      <c r="Y201" t="s">
        <v>116</v>
      </c>
      <c r="Z201">
        <v>1</v>
      </c>
      <c r="AA201">
        <v>4</v>
      </c>
      <c r="AB201" t="s">
        <v>11</v>
      </c>
      <c r="AC201" t="s">
        <v>12</v>
      </c>
      <c r="AD201" t="s">
        <v>20</v>
      </c>
      <c r="AE201" t="s">
        <v>29</v>
      </c>
      <c r="AF201" s="1">
        <v>23211</v>
      </c>
      <c r="AG201">
        <f t="shared" ca="1" si="11"/>
        <v>62</v>
      </c>
    </row>
    <row r="202" spans="1:33" x14ac:dyDescent="0.2">
      <c r="A202" s="1">
        <v>46044</v>
      </c>
      <c r="B202" t="str">
        <f t="shared" si="9"/>
        <v>jeudi</v>
      </c>
      <c r="C202" t="str">
        <f t="shared" si="10"/>
        <v>Nuit</v>
      </c>
      <c r="D202">
        <v>1500186</v>
      </c>
      <c r="E202">
        <v>2605438</v>
      </c>
      <c r="F202" t="s">
        <v>45</v>
      </c>
      <c r="G202" t="s">
        <v>16</v>
      </c>
      <c r="H202" t="s">
        <v>103</v>
      </c>
      <c r="I202" t="s">
        <v>41</v>
      </c>
      <c r="J202" t="s">
        <v>4</v>
      </c>
      <c r="K202">
        <v>60704</v>
      </c>
      <c r="L202" t="s">
        <v>5</v>
      </c>
      <c r="M202" t="s">
        <v>6</v>
      </c>
      <c r="N202" s="2">
        <v>0.26527777777777778</v>
      </c>
      <c r="O202" s="2">
        <v>0.26666666666666666</v>
      </c>
      <c r="P202" s="2">
        <v>0.27638888888888891</v>
      </c>
      <c r="Q202" s="2">
        <v>0.29375000000000001</v>
      </c>
      <c r="R202" s="2">
        <v>0.29722222222222222</v>
      </c>
      <c r="S202" s="2">
        <v>0.3125</v>
      </c>
      <c r="T202" t="s">
        <v>7</v>
      </c>
      <c r="U202" t="s">
        <v>251</v>
      </c>
      <c r="V202" t="s">
        <v>86</v>
      </c>
      <c r="X202" t="s">
        <v>190</v>
      </c>
      <c r="Y202" t="s">
        <v>191</v>
      </c>
      <c r="Z202">
        <v>2</v>
      </c>
      <c r="AA202">
        <v>3</v>
      </c>
      <c r="AB202" t="s">
        <v>11</v>
      </c>
      <c r="AC202" t="s">
        <v>12</v>
      </c>
      <c r="AD202" t="s">
        <v>212</v>
      </c>
      <c r="AE202" t="s">
        <v>29</v>
      </c>
      <c r="AF202" s="1">
        <v>16131</v>
      </c>
      <c r="AG202">
        <f t="shared" ca="1" si="11"/>
        <v>81</v>
      </c>
    </row>
    <row r="203" spans="1:33" x14ac:dyDescent="0.2">
      <c r="A203" s="1">
        <v>46044</v>
      </c>
      <c r="B203" t="str">
        <f t="shared" si="9"/>
        <v>jeudi</v>
      </c>
      <c r="C203" t="str">
        <f t="shared" si="10"/>
        <v>Nuit</v>
      </c>
      <c r="D203">
        <v>1500192</v>
      </c>
      <c r="E203">
        <v>2605652</v>
      </c>
      <c r="F203" t="s">
        <v>45</v>
      </c>
      <c r="G203" t="s">
        <v>16</v>
      </c>
      <c r="H203" t="s">
        <v>239</v>
      </c>
      <c r="I203" t="s">
        <v>41</v>
      </c>
      <c r="J203" t="s">
        <v>4</v>
      </c>
      <c r="K203">
        <v>60704</v>
      </c>
      <c r="L203" t="s">
        <v>5</v>
      </c>
      <c r="M203" t="s">
        <v>6</v>
      </c>
      <c r="N203" s="2">
        <v>0.88055555555555554</v>
      </c>
      <c r="O203" s="2">
        <v>0.88124999999999998</v>
      </c>
      <c r="P203" s="2">
        <v>0.88541666666666663</v>
      </c>
      <c r="Q203" s="2">
        <v>0.89861111111111114</v>
      </c>
      <c r="R203" s="2">
        <v>0.90347222222222223</v>
      </c>
      <c r="S203" s="2">
        <v>0.92708333333333337</v>
      </c>
      <c r="T203" t="s">
        <v>43</v>
      </c>
      <c r="U203" t="s">
        <v>251</v>
      </c>
      <c r="V203" t="s">
        <v>8</v>
      </c>
      <c r="X203" t="s">
        <v>19</v>
      </c>
      <c r="Y203" t="s">
        <v>211</v>
      </c>
      <c r="Z203">
        <v>2</v>
      </c>
      <c r="AA203">
        <v>3</v>
      </c>
      <c r="AB203" t="s">
        <v>11</v>
      </c>
      <c r="AC203" t="s">
        <v>12</v>
      </c>
      <c r="AD203" t="s">
        <v>20</v>
      </c>
      <c r="AE203" t="s">
        <v>14</v>
      </c>
      <c r="AF203" s="1">
        <v>26094</v>
      </c>
      <c r="AG203">
        <f t="shared" ca="1" si="11"/>
        <v>54</v>
      </c>
    </row>
    <row r="204" spans="1:33" x14ac:dyDescent="0.2">
      <c r="A204" s="1">
        <v>46044</v>
      </c>
      <c r="B204" t="str">
        <f t="shared" si="9"/>
        <v>jeudi</v>
      </c>
      <c r="C204" t="str">
        <f t="shared" si="10"/>
        <v>Jour</v>
      </c>
      <c r="D204">
        <v>1494468</v>
      </c>
      <c r="E204">
        <v>2605622</v>
      </c>
      <c r="F204" t="s">
        <v>0</v>
      </c>
      <c r="G204" t="s">
        <v>1</v>
      </c>
      <c r="H204" t="s">
        <v>37</v>
      </c>
      <c r="I204" t="s">
        <v>23</v>
      </c>
      <c r="J204" t="s">
        <v>4</v>
      </c>
      <c r="K204">
        <v>60708</v>
      </c>
      <c r="L204" t="s">
        <v>5</v>
      </c>
      <c r="M204" t="s">
        <v>6</v>
      </c>
      <c r="N204" s="2">
        <v>0.80138888888888893</v>
      </c>
      <c r="O204" s="2">
        <v>0.80208333333333337</v>
      </c>
      <c r="P204" s="2">
        <v>0.80486111111111114</v>
      </c>
      <c r="S204" s="2">
        <v>0.80555555555555558</v>
      </c>
      <c r="T204" t="s">
        <v>7</v>
      </c>
      <c r="U204" t="s">
        <v>263</v>
      </c>
      <c r="V204" t="s">
        <v>47</v>
      </c>
      <c r="W204" t="s">
        <v>240</v>
      </c>
      <c r="X204" t="s">
        <v>33</v>
      </c>
      <c r="Y204" t="s">
        <v>187</v>
      </c>
      <c r="Z204" t="s">
        <v>73</v>
      </c>
      <c r="AA204">
        <v>9</v>
      </c>
      <c r="AB204" t="s">
        <v>11</v>
      </c>
      <c r="AC204" t="s">
        <v>73</v>
      </c>
      <c r="AD204" t="s">
        <v>20</v>
      </c>
      <c r="AG204">
        <f t="shared" ca="1" si="11"/>
        <v>126</v>
      </c>
    </row>
    <row r="205" spans="1:33" x14ac:dyDescent="0.2">
      <c r="A205" s="1">
        <v>46044</v>
      </c>
      <c r="B205" t="str">
        <f t="shared" si="9"/>
        <v>jeudi</v>
      </c>
      <c r="C205" t="str">
        <f t="shared" si="10"/>
        <v>Jour</v>
      </c>
      <c r="D205">
        <v>1500190</v>
      </c>
      <c r="E205">
        <v>2605540</v>
      </c>
      <c r="F205" t="s">
        <v>21</v>
      </c>
      <c r="G205" t="s">
        <v>1</v>
      </c>
      <c r="H205" t="s">
        <v>55</v>
      </c>
      <c r="I205" t="s">
        <v>81</v>
      </c>
      <c r="J205" t="s">
        <v>4</v>
      </c>
      <c r="K205">
        <v>60704</v>
      </c>
      <c r="L205" t="s">
        <v>5</v>
      </c>
      <c r="M205" t="s">
        <v>6</v>
      </c>
      <c r="N205" s="2">
        <v>0.57847222222222228</v>
      </c>
      <c r="O205" s="2">
        <v>0.57916666666666672</v>
      </c>
      <c r="P205" s="2">
        <v>0.58194444444444449</v>
      </c>
      <c r="Q205" s="2">
        <v>0.61111111111111116</v>
      </c>
      <c r="R205" s="2">
        <v>0.61527777777777781</v>
      </c>
      <c r="S205" s="2">
        <v>0.63888888888888884</v>
      </c>
      <c r="T205" t="s">
        <v>43</v>
      </c>
      <c r="U205" t="s">
        <v>251</v>
      </c>
      <c r="V205" t="s">
        <v>8</v>
      </c>
      <c r="X205" t="s">
        <v>9</v>
      </c>
      <c r="Y205" t="s">
        <v>48</v>
      </c>
      <c r="Z205">
        <v>2</v>
      </c>
      <c r="AA205">
        <v>4</v>
      </c>
      <c r="AB205" t="s">
        <v>11</v>
      </c>
      <c r="AC205" t="s">
        <v>12</v>
      </c>
      <c r="AD205" t="s">
        <v>13</v>
      </c>
      <c r="AE205" t="s">
        <v>29</v>
      </c>
      <c r="AF205" s="1">
        <v>24040</v>
      </c>
      <c r="AG205">
        <f t="shared" ca="1" si="11"/>
        <v>60</v>
      </c>
    </row>
    <row r="206" spans="1:33" x14ac:dyDescent="0.2">
      <c r="A206" s="1">
        <v>46043</v>
      </c>
      <c r="B206" t="str">
        <f t="shared" si="9"/>
        <v>mercredi</v>
      </c>
      <c r="C206" t="str">
        <f t="shared" si="10"/>
        <v>Jour</v>
      </c>
      <c r="D206">
        <v>1510936</v>
      </c>
      <c r="E206">
        <v>2605251</v>
      </c>
      <c r="F206" t="s">
        <v>56</v>
      </c>
      <c r="G206" t="s">
        <v>16</v>
      </c>
      <c r="H206" t="s">
        <v>22</v>
      </c>
      <c r="I206" t="s">
        <v>81</v>
      </c>
      <c r="J206" t="s">
        <v>4</v>
      </c>
      <c r="K206">
        <v>60709</v>
      </c>
      <c r="L206" t="s">
        <v>5</v>
      </c>
      <c r="M206" t="s">
        <v>6</v>
      </c>
      <c r="N206" s="2">
        <v>0.51180555555555551</v>
      </c>
      <c r="O206" s="2">
        <v>0.51458333333333328</v>
      </c>
      <c r="P206" s="2">
        <v>0.52916666666666667</v>
      </c>
      <c r="Q206" s="2">
        <v>0.55000000000000004</v>
      </c>
      <c r="R206" s="2">
        <v>0.5625</v>
      </c>
      <c r="S206" s="2">
        <v>0.59027777777777779</v>
      </c>
      <c r="T206" t="s">
        <v>7</v>
      </c>
      <c r="U206" t="s">
        <v>130</v>
      </c>
      <c r="V206" t="s">
        <v>24</v>
      </c>
      <c r="X206" t="s">
        <v>9</v>
      </c>
      <c r="Y206" t="s">
        <v>10</v>
      </c>
      <c r="Z206">
        <v>3</v>
      </c>
      <c r="AA206">
        <v>3</v>
      </c>
      <c r="AB206" t="s">
        <v>11</v>
      </c>
      <c r="AC206" t="s">
        <v>12</v>
      </c>
      <c r="AD206" t="s">
        <v>20</v>
      </c>
      <c r="AE206" t="s">
        <v>14</v>
      </c>
      <c r="AF206" s="1">
        <v>15695</v>
      </c>
      <c r="AG206">
        <f t="shared" ca="1" si="11"/>
        <v>83</v>
      </c>
    </row>
    <row r="207" spans="1:33" x14ac:dyDescent="0.2">
      <c r="A207" s="1">
        <v>46044</v>
      </c>
      <c r="B207" t="str">
        <f t="shared" si="9"/>
        <v>jeudi</v>
      </c>
      <c r="C207" t="str">
        <f t="shared" si="10"/>
        <v>Jour</v>
      </c>
      <c r="D207">
        <v>1492842</v>
      </c>
      <c r="E207">
        <v>2605513</v>
      </c>
      <c r="F207" t="s">
        <v>56</v>
      </c>
      <c r="G207" t="s">
        <v>1</v>
      </c>
      <c r="H207" t="s">
        <v>49</v>
      </c>
      <c r="I207" t="s">
        <v>42</v>
      </c>
      <c r="J207" t="s">
        <v>4</v>
      </c>
      <c r="K207">
        <v>60707</v>
      </c>
      <c r="L207" t="s">
        <v>5</v>
      </c>
      <c r="M207" t="s">
        <v>195</v>
      </c>
      <c r="N207" s="2">
        <v>0.51180555555555551</v>
      </c>
      <c r="O207" s="2">
        <v>0.51180555555555551</v>
      </c>
      <c r="P207" s="2">
        <v>0.52013888888888893</v>
      </c>
      <c r="Q207" s="2">
        <v>0.54513888888888884</v>
      </c>
      <c r="R207" s="2">
        <v>0.5493055555555556</v>
      </c>
      <c r="S207" s="2">
        <v>0.57638888888888884</v>
      </c>
      <c r="T207" t="s">
        <v>7</v>
      </c>
      <c r="U207" t="s">
        <v>104</v>
      </c>
      <c r="V207" t="s">
        <v>8</v>
      </c>
      <c r="X207" t="s">
        <v>9</v>
      </c>
      <c r="Y207" t="s">
        <v>10</v>
      </c>
      <c r="Z207">
        <v>1</v>
      </c>
      <c r="AA207">
        <v>4</v>
      </c>
      <c r="AB207" t="s">
        <v>11</v>
      </c>
      <c r="AC207" t="s">
        <v>12</v>
      </c>
      <c r="AD207" t="s">
        <v>13</v>
      </c>
      <c r="AE207" t="s">
        <v>14</v>
      </c>
      <c r="AF207" s="1">
        <v>27977</v>
      </c>
      <c r="AG207">
        <f t="shared" ca="1" si="11"/>
        <v>49</v>
      </c>
    </row>
    <row r="208" spans="1:33" x14ac:dyDescent="0.2">
      <c r="A208" s="1">
        <v>46043</v>
      </c>
      <c r="B208" t="str">
        <f t="shared" si="9"/>
        <v>mercredi</v>
      </c>
      <c r="C208" t="str">
        <f t="shared" si="10"/>
        <v>Jour</v>
      </c>
      <c r="D208">
        <v>1510938</v>
      </c>
      <c r="E208">
        <v>2605310</v>
      </c>
      <c r="F208" t="s">
        <v>56</v>
      </c>
      <c r="G208" t="s">
        <v>1</v>
      </c>
      <c r="H208" t="s">
        <v>22</v>
      </c>
      <c r="I208" t="s">
        <v>81</v>
      </c>
      <c r="J208" t="s">
        <v>4</v>
      </c>
      <c r="K208">
        <v>60709</v>
      </c>
      <c r="L208" t="s">
        <v>5</v>
      </c>
      <c r="M208" t="s">
        <v>6</v>
      </c>
      <c r="N208" s="2">
        <v>0.6958333333333333</v>
      </c>
      <c r="O208" s="2">
        <v>0.69652777777777775</v>
      </c>
      <c r="P208" s="2">
        <v>0.70347222222222228</v>
      </c>
      <c r="Q208" s="2">
        <v>0.71458333333333335</v>
      </c>
      <c r="R208" s="2">
        <v>0.72430555555555554</v>
      </c>
      <c r="S208" s="2">
        <v>0.75</v>
      </c>
      <c r="T208" t="s">
        <v>64</v>
      </c>
      <c r="U208" t="s">
        <v>32</v>
      </c>
      <c r="V208" t="s">
        <v>8</v>
      </c>
      <c r="X208" t="s">
        <v>33</v>
      </c>
      <c r="Y208" t="s">
        <v>205</v>
      </c>
      <c r="Z208">
        <v>2</v>
      </c>
      <c r="AA208">
        <v>2</v>
      </c>
      <c r="AB208" t="s">
        <v>11</v>
      </c>
      <c r="AC208" t="s">
        <v>12</v>
      </c>
      <c r="AD208" t="s">
        <v>20</v>
      </c>
      <c r="AE208" t="s">
        <v>29</v>
      </c>
      <c r="AF208" s="1">
        <v>37381</v>
      </c>
      <c r="AG208">
        <f t="shared" ca="1" si="11"/>
        <v>23</v>
      </c>
    </row>
    <row r="209" spans="1:33" x14ac:dyDescent="0.2">
      <c r="A209" s="1">
        <v>46036</v>
      </c>
      <c r="B209" t="str">
        <f t="shared" si="9"/>
        <v>mercredi</v>
      </c>
      <c r="C209" t="str">
        <f t="shared" si="10"/>
        <v>Jour</v>
      </c>
      <c r="D209">
        <v>1494193</v>
      </c>
      <c r="E209">
        <v>2586838</v>
      </c>
      <c r="F209" t="s">
        <v>21</v>
      </c>
      <c r="G209" t="s">
        <v>1</v>
      </c>
      <c r="H209" t="s">
        <v>22</v>
      </c>
      <c r="I209" t="s">
        <v>49</v>
      </c>
      <c r="J209" t="s">
        <v>4</v>
      </c>
      <c r="K209">
        <v>60708</v>
      </c>
      <c r="L209" t="s">
        <v>5</v>
      </c>
      <c r="M209" t="s">
        <v>6</v>
      </c>
      <c r="N209" s="2">
        <v>0.44722222222222224</v>
      </c>
      <c r="O209" s="2">
        <v>0.45</v>
      </c>
      <c r="P209" s="2">
        <v>0.45208333333333334</v>
      </c>
      <c r="Q209" s="2">
        <v>0.46805555555555556</v>
      </c>
      <c r="R209" s="2">
        <v>0.47847222222222224</v>
      </c>
      <c r="S209" s="2">
        <v>0.5</v>
      </c>
      <c r="T209" t="s">
        <v>87</v>
      </c>
      <c r="U209" t="s">
        <v>251</v>
      </c>
      <c r="V209" t="s">
        <v>8</v>
      </c>
      <c r="X209" t="s">
        <v>252</v>
      </c>
      <c r="Y209" t="s">
        <v>48</v>
      </c>
      <c r="Z209">
        <v>3</v>
      </c>
      <c r="AA209">
        <v>2</v>
      </c>
      <c r="AB209" t="s">
        <v>11</v>
      </c>
      <c r="AC209" t="s">
        <v>12</v>
      </c>
      <c r="AD209" t="s">
        <v>20</v>
      </c>
      <c r="AE209" t="s">
        <v>14</v>
      </c>
      <c r="AF209" s="1">
        <v>24972</v>
      </c>
      <c r="AG209">
        <f t="shared" ca="1" si="11"/>
        <v>57</v>
      </c>
    </row>
    <row r="210" spans="1:33" x14ac:dyDescent="0.2">
      <c r="A210" s="1">
        <v>46036</v>
      </c>
      <c r="B210" t="str">
        <f t="shared" si="9"/>
        <v>mercredi</v>
      </c>
      <c r="C210" t="str">
        <f t="shared" si="10"/>
        <v>Jour</v>
      </c>
      <c r="D210">
        <v>1494195</v>
      </c>
      <c r="E210">
        <v>2586898</v>
      </c>
      <c r="F210" t="s">
        <v>21</v>
      </c>
      <c r="G210" t="s">
        <v>1</v>
      </c>
      <c r="H210" t="s">
        <v>22</v>
      </c>
      <c r="I210" t="s">
        <v>49</v>
      </c>
      <c r="J210" t="s">
        <v>4</v>
      </c>
      <c r="K210">
        <v>60708</v>
      </c>
      <c r="L210" t="s">
        <v>5</v>
      </c>
      <c r="M210" t="s">
        <v>6</v>
      </c>
      <c r="N210" s="2">
        <v>0.62777777777777777</v>
      </c>
      <c r="O210" s="2">
        <v>0.62847222222222221</v>
      </c>
      <c r="P210" s="2">
        <v>0.63124999999999998</v>
      </c>
      <c r="Q210" s="2">
        <v>0.65416666666666667</v>
      </c>
      <c r="R210" s="2">
        <v>0.6645833333333333</v>
      </c>
      <c r="S210" s="2">
        <v>0.6875</v>
      </c>
      <c r="T210" t="s">
        <v>7</v>
      </c>
      <c r="U210" t="s">
        <v>251</v>
      </c>
      <c r="V210" t="s">
        <v>8</v>
      </c>
      <c r="X210" t="s">
        <v>190</v>
      </c>
      <c r="Y210" t="s">
        <v>191</v>
      </c>
      <c r="Z210">
        <v>2</v>
      </c>
      <c r="AA210">
        <v>3</v>
      </c>
      <c r="AB210" t="s">
        <v>11</v>
      </c>
      <c r="AC210" t="s">
        <v>12</v>
      </c>
      <c r="AD210" t="s">
        <v>20</v>
      </c>
      <c r="AE210" t="s">
        <v>29</v>
      </c>
      <c r="AF210" s="1">
        <v>12407</v>
      </c>
      <c r="AG210">
        <f t="shared" ca="1" si="11"/>
        <v>92</v>
      </c>
    </row>
    <row r="211" spans="1:33" x14ac:dyDescent="0.2">
      <c r="A211" s="1">
        <v>46044</v>
      </c>
      <c r="B211" t="str">
        <f t="shared" si="9"/>
        <v>jeudi</v>
      </c>
      <c r="C211" t="str">
        <f t="shared" si="10"/>
        <v>Jour</v>
      </c>
      <c r="D211">
        <v>1494467</v>
      </c>
      <c r="E211">
        <v>2605515</v>
      </c>
      <c r="F211" t="s">
        <v>15</v>
      </c>
      <c r="G211" t="s">
        <v>16</v>
      </c>
      <c r="H211" t="s">
        <v>131</v>
      </c>
      <c r="I211" t="s">
        <v>78</v>
      </c>
      <c r="J211" t="s">
        <v>4</v>
      </c>
      <c r="K211">
        <v>60708</v>
      </c>
      <c r="L211" t="s">
        <v>5</v>
      </c>
      <c r="M211" t="s">
        <v>6</v>
      </c>
      <c r="N211" s="2">
        <v>0.52361111111111114</v>
      </c>
      <c r="O211" s="2">
        <v>0.52500000000000002</v>
      </c>
      <c r="P211" s="2">
        <v>0.53055555555555556</v>
      </c>
      <c r="Q211" s="2">
        <v>0.56041666666666667</v>
      </c>
      <c r="R211" s="2">
        <v>0.56597222222222221</v>
      </c>
      <c r="S211" s="2">
        <v>0.59027777777777779</v>
      </c>
      <c r="T211" t="s">
        <v>7</v>
      </c>
      <c r="U211" t="s">
        <v>265</v>
      </c>
      <c r="V211" t="s">
        <v>8</v>
      </c>
      <c r="X211" t="s">
        <v>33</v>
      </c>
      <c r="Y211" t="s">
        <v>80</v>
      </c>
      <c r="Z211">
        <v>2</v>
      </c>
      <c r="AA211">
        <v>3</v>
      </c>
      <c r="AB211" t="s">
        <v>11</v>
      </c>
      <c r="AC211" t="s">
        <v>28</v>
      </c>
      <c r="AD211" t="s">
        <v>20</v>
      </c>
      <c r="AE211" t="s">
        <v>14</v>
      </c>
      <c r="AF211" s="1">
        <v>11840</v>
      </c>
      <c r="AG211">
        <f t="shared" ca="1" si="11"/>
        <v>93</v>
      </c>
    </row>
    <row r="212" spans="1:33" x14ac:dyDescent="0.2">
      <c r="A212" s="1">
        <v>46044</v>
      </c>
      <c r="B212" t="str">
        <f t="shared" si="9"/>
        <v>jeudi</v>
      </c>
      <c r="C212" t="str">
        <f t="shared" si="10"/>
        <v>Jour</v>
      </c>
      <c r="D212">
        <v>1510939</v>
      </c>
      <c r="E212">
        <v>2605450</v>
      </c>
      <c r="F212" t="s">
        <v>25</v>
      </c>
      <c r="G212" t="s">
        <v>25</v>
      </c>
      <c r="H212" t="s">
        <v>37</v>
      </c>
      <c r="I212" t="s">
        <v>22</v>
      </c>
      <c r="J212" t="s">
        <v>4</v>
      </c>
      <c r="K212">
        <v>60709</v>
      </c>
      <c r="L212" t="s">
        <v>5</v>
      </c>
      <c r="M212" t="s">
        <v>6</v>
      </c>
      <c r="N212" s="2">
        <v>0.33750000000000002</v>
      </c>
      <c r="O212" s="2">
        <v>0.34652777777777777</v>
      </c>
      <c r="P212" s="2">
        <v>0.36388888888888887</v>
      </c>
      <c r="S212" s="2">
        <v>0.3840277777777778</v>
      </c>
      <c r="T212" t="s">
        <v>7</v>
      </c>
      <c r="U212" t="s">
        <v>18</v>
      </c>
      <c r="V212" t="s">
        <v>47</v>
      </c>
      <c r="W212" t="s">
        <v>199</v>
      </c>
      <c r="X212" t="s">
        <v>33</v>
      </c>
      <c r="Y212" t="s">
        <v>201</v>
      </c>
      <c r="Z212">
        <v>4</v>
      </c>
      <c r="AA212">
        <v>1</v>
      </c>
      <c r="AB212" t="s">
        <v>11</v>
      </c>
      <c r="AC212" t="s">
        <v>12</v>
      </c>
      <c r="AD212" t="s">
        <v>20</v>
      </c>
      <c r="AE212" t="s">
        <v>14</v>
      </c>
      <c r="AF212" s="1">
        <v>15949</v>
      </c>
      <c r="AG212">
        <f t="shared" ca="1" si="11"/>
        <v>82</v>
      </c>
    </row>
    <row r="213" spans="1:33" x14ac:dyDescent="0.2">
      <c r="A213" s="1">
        <v>46043</v>
      </c>
      <c r="B213" t="str">
        <f t="shared" si="9"/>
        <v>mercredi</v>
      </c>
      <c r="C213" t="str">
        <f t="shared" si="10"/>
        <v>Jour</v>
      </c>
      <c r="D213">
        <v>1510937</v>
      </c>
      <c r="E213">
        <v>2605285</v>
      </c>
      <c r="F213" t="s">
        <v>56</v>
      </c>
      <c r="G213" t="s">
        <v>16</v>
      </c>
      <c r="H213" t="s">
        <v>81</v>
      </c>
      <c r="I213" t="s">
        <v>22</v>
      </c>
      <c r="J213" t="s">
        <v>4</v>
      </c>
      <c r="K213">
        <v>60709</v>
      </c>
      <c r="L213" t="s">
        <v>5</v>
      </c>
      <c r="M213" t="s">
        <v>6</v>
      </c>
      <c r="N213" s="2">
        <v>0.60624999999999996</v>
      </c>
      <c r="O213" s="2">
        <v>0.60763888888888884</v>
      </c>
      <c r="P213" s="2">
        <v>0.62013888888888891</v>
      </c>
      <c r="Q213" s="2">
        <v>0.64652777777777781</v>
      </c>
      <c r="R213" s="2">
        <v>0.65763888888888888</v>
      </c>
      <c r="S213" s="2">
        <v>0.6875</v>
      </c>
      <c r="T213" t="s">
        <v>7</v>
      </c>
      <c r="U213" t="s">
        <v>132</v>
      </c>
      <c r="V213" t="s">
        <v>8</v>
      </c>
      <c r="X213" t="s">
        <v>74</v>
      </c>
      <c r="Y213" t="s">
        <v>75</v>
      </c>
      <c r="Z213">
        <v>2</v>
      </c>
      <c r="AA213">
        <v>4</v>
      </c>
      <c r="AB213" t="s">
        <v>11</v>
      </c>
      <c r="AC213" t="s">
        <v>28</v>
      </c>
      <c r="AD213" t="s">
        <v>44</v>
      </c>
      <c r="AE213" t="s">
        <v>29</v>
      </c>
      <c r="AF213" s="1">
        <v>11786</v>
      </c>
      <c r="AG213">
        <f t="shared" ca="1" si="11"/>
        <v>93</v>
      </c>
    </row>
    <row r="214" spans="1:33" x14ac:dyDescent="0.2">
      <c r="A214" s="1">
        <v>46043</v>
      </c>
      <c r="B214" t="str">
        <f t="shared" si="9"/>
        <v>mercredi</v>
      </c>
      <c r="C214" t="str">
        <f t="shared" si="10"/>
        <v>Jour</v>
      </c>
      <c r="D214">
        <v>1510935</v>
      </c>
      <c r="E214">
        <v>2605223</v>
      </c>
      <c r="F214" t="s">
        <v>15</v>
      </c>
      <c r="G214" t="s">
        <v>1</v>
      </c>
      <c r="H214" t="s">
        <v>81</v>
      </c>
      <c r="I214" t="s">
        <v>22</v>
      </c>
      <c r="J214" t="s">
        <v>4</v>
      </c>
      <c r="K214">
        <v>60709</v>
      </c>
      <c r="L214" t="s">
        <v>5</v>
      </c>
      <c r="M214" t="s">
        <v>6</v>
      </c>
      <c r="N214" s="2">
        <v>0.42569444444444443</v>
      </c>
      <c r="O214" s="2">
        <v>0.42569444444444443</v>
      </c>
      <c r="P214" s="2">
        <v>0.43055555555555558</v>
      </c>
      <c r="Q214" s="2">
        <v>0.44861111111111113</v>
      </c>
      <c r="R214" s="2">
        <v>0.45</v>
      </c>
      <c r="S214" s="2">
        <v>0.46875</v>
      </c>
      <c r="T214" t="s">
        <v>125</v>
      </c>
      <c r="U214" t="s">
        <v>32</v>
      </c>
      <c r="V214" t="s">
        <v>8</v>
      </c>
      <c r="X214" t="s">
        <v>33</v>
      </c>
      <c r="Y214" t="s">
        <v>34</v>
      </c>
      <c r="Z214">
        <v>3</v>
      </c>
      <c r="AA214">
        <v>3</v>
      </c>
      <c r="AB214" t="s">
        <v>11</v>
      </c>
      <c r="AC214" t="s">
        <v>12</v>
      </c>
      <c r="AD214" t="s">
        <v>20</v>
      </c>
      <c r="AE214" t="s">
        <v>14</v>
      </c>
      <c r="AF214" s="1">
        <v>15770</v>
      </c>
      <c r="AG214">
        <f t="shared" ca="1" si="11"/>
        <v>82</v>
      </c>
    </row>
    <row r="215" spans="1:33" x14ac:dyDescent="0.2">
      <c r="A215" s="1">
        <v>46043</v>
      </c>
      <c r="B215" t="str">
        <f t="shared" si="9"/>
        <v>mercredi</v>
      </c>
      <c r="C215" t="str">
        <f t="shared" si="10"/>
        <v>Jour</v>
      </c>
      <c r="D215">
        <v>1494464</v>
      </c>
      <c r="E215">
        <v>2605296</v>
      </c>
      <c r="F215" t="s">
        <v>15</v>
      </c>
      <c r="G215" t="s">
        <v>16</v>
      </c>
      <c r="H215" t="s">
        <v>49</v>
      </c>
      <c r="I215" t="s">
        <v>42</v>
      </c>
      <c r="J215" t="s">
        <v>4</v>
      </c>
      <c r="K215">
        <v>60708</v>
      </c>
      <c r="L215" t="s">
        <v>5</v>
      </c>
      <c r="M215" t="s">
        <v>6</v>
      </c>
      <c r="N215" s="2">
        <v>0.65277777777777779</v>
      </c>
      <c r="O215" s="2">
        <v>0.65416666666666667</v>
      </c>
      <c r="P215" s="2">
        <v>0.65763888888888888</v>
      </c>
      <c r="Q215" s="2">
        <v>0.7104166666666667</v>
      </c>
      <c r="R215" s="2">
        <v>0.71458333333333335</v>
      </c>
      <c r="S215" s="2">
        <v>0.74305555555555558</v>
      </c>
      <c r="T215" t="s">
        <v>7</v>
      </c>
      <c r="U215" t="s">
        <v>251</v>
      </c>
      <c r="V215" t="s">
        <v>8</v>
      </c>
      <c r="X215" t="s">
        <v>74</v>
      </c>
      <c r="Y215" t="s">
        <v>75</v>
      </c>
      <c r="Z215">
        <v>3</v>
      </c>
      <c r="AA215">
        <v>3</v>
      </c>
      <c r="AB215" t="s">
        <v>11</v>
      </c>
      <c r="AC215" t="s">
        <v>28</v>
      </c>
      <c r="AD215" t="s">
        <v>44</v>
      </c>
      <c r="AE215" t="s">
        <v>14</v>
      </c>
      <c r="AF215" s="1">
        <v>19135</v>
      </c>
      <c r="AG215">
        <f t="shared" ca="1" si="11"/>
        <v>73</v>
      </c>
    </row>
    <row r="216" spans="1:33" x14ac:dyDescent="0.2">
      <c r="A216" s="1">
        <v>46043</v>
      </c>
      <c r="B216" t="str">
        <f t="shared" si="9"/>
        <v>mercredi</v>
      </c>
      <c r="C216" t="str">
        <f t="shared" si="10"/>
        <v>Jour</v>
      </c>
      <c r="D216">
        <v>1473379</v>
      </c>
      <c r="E216">
        <v>2605225</v>
      </c>
      <c r="F216" t="s">
        <v>15</v>
      </c>
      <c r="G216" t="s">
        <v>1</v>
      </c>
      <c r="H216" t="s">
        <v>49</v>
      </c>
      <c r="I216" t="s">
        <v>42</v>
      </c>
      <c r="J216" t="s">
        <v>4</v>
      </c>
      <c r="K216">
        <v>60705</v>
      </c>
      <c r="L216" t="s">
        <v>5</v>
      </c>
      <c r="M216" t="s">
        <v>6</v>
      </c>
      <c r="N216" s="2">
        <v>0.42569444444444443</v>
      </c>
      <c r="O216" s="2">
        <v>0.42569444444444443</v>
      </c>
      <c r="P216" s="2">
        <v>0.43263888888888891</v>
      </c>
      <c r="Q216" s="2">
        <v>0.44444444444444442</v>
      </c>
      <c r="R216" s="2">
        <v>0.45347222222222222</v>
      </c>
      <c r="S216" s="2">
        <v>0.4861111111111111</v>
      </c>
      <c r="T216" t="s">
        <v>8</v>
      </c>
      <c r="U216" t="s">
        <v>18</v>
      </c>
      <c r="V216" t="s">
        <v>8</v>
      </c>
      <c r="X216" t="s">
        <v>214</v>
      </c>
      <c r="Y216" t="s">
        <v>215</v>
      </c>
      <c r="Z216">
        <v>1</v>
      </c>
      <c r="AA216">
        <v>4</v>
      </c>
      <c r="AB216" t="s">
        <v>11</v>
      </c>
      <c r="AC216" t="s">
        <v>12</v>
      </c>
      <c r="AD216" t="s">
        <v>20</v>
      </c>
      <c r="AE216" t="s">
        <v>29</v>
      </c>
      <c r="AF216" s="1">
        <v>19565</v>
      </c>
      <c r="AG216">
        <f t="shared" ca="1" si="11"/>
        <v>72</v>
      </c>
    </row>
    <row r="217" spans="1:33" x14ac:dyDescent="0.2">
      <c r="A217" s="1">
        <v>46043</v>
      </c>
      <c r="B217" t="str">
        <f t="shared" si="9"/>
        <v>mercredi</v>
      </c>
      <c r="C217" t="str">
        <f t="shared" si="10"/>
        <v>Jour</v>
      </c>
      <c r="D217">
        <v>1500181</v>
      </c>
      <c r="E217">
        <v>2605308</v>
      </c>
      <c r="F217" t="s">
        <v>21</v>
      </c>
      <c r="G217" t="s">
        <v>1</v>
      </c>
      <c r="H217" t="s">
        <v>41</v>
      </c>
      <c r="I217" t="s">
        <v>115</v>
      </c>
      <c r="J217" t="s">
        <v>256</v>
      </c>
      <c r="K217">
        <v>60704</v>
      </c>
      <c r="L217" t="s">
        <v>5</v>
      </c>
      <c r="M217" t="s">
        <v>6</v>
      </c>
      <c r="N217" s="2">
        <v>0.68611111111111112</v>
      </c>
      <c r="O217" s="2">
        <v>0.6875</v>
      </c>
      <c r="P217" s="2">
        <v>0.69236111111111109</v>
      </c>
      <c r="Q217" s="2">
        <v>0.7104166666666667</v>
      </c>
      <c r="R217" s="2">
        <v>0.71527777777777779</v>
      </c>
      <c r="S217" s="2">
        <v>0.73263888888888884</v>
      </c>
      <c r="T217" t="s">
        <v>7</v>
      </c>
      <c r="U217" t="s">
        <v>263</v>
      </c>
      <c r="V217" t="s">
        <v>86</v>
      </c>
      <c r="X217" t="s">
        <v>252</v>
      </c>
      <c r="Y217" t="s">
        <v>48</v>
      </c>
      <c r="Z217">
        <v>3</v>
      </c>
      <c r="AA217">
        <v>2</v>
      </c>
      <c r="AB217" t="s">
        <v>11</v>
      </c>
      <c r="AC217" t="s">
        <v>12</v>
      </c>
      <c r="AD217" t="s">
        <v>20</v>
      </c>
      <c r="AE217" t="s">
        <v>14</v>
      </c>
      <c r="AF217" s="1">
        <v>26749</v>
      </c>
      <c r="AG217">
        <f t="shared" ca="1" si="11"/>
        <v>52</v>
      </c>
    </row>
    <row r="218" spans="1:33" x14ac:dyDescent="0.2">
      <c r="A218" s="1">
        <v>46043</v>
      </c>
      <c r="B218" t="str">
        <f t="shared" si="9"/>
        <v>mercredi</v>
      </c>
      <c r="C218" t="str">
        <f t="shared" si="10"/>
        <v>Nuit</v>
      </c>
      <c r="D218">
        <v>1500183</v>
      </c>
      <c r="E218">
        <v>2605380</v>
      </c>
      <c r="F218" t="s">
        <v>45</v>
      </c>
      <c r="G218" t="s">
        <v>1</v>
      </c>
      <c r="H218" t="s">
        <v>41</v>
      </c>
      <c r="I218" t="s">
        <v>103</v>
      </c>
      <c r="J218" t="s">
        <v>4</v>
      </c>
      <c r="K218">
        <v>60704</v>
      </c>
      <c r="L218" t="s">
        <v>61</v>
      </c>
      <c r="M218" t="s">
        <v>204</v>
      </c>
      <c r="N218" s="2">
        <v>0.89027777777777772</v>
      </c>
      <c r="O218" s="2">
        <v>0.89166666666666672</v>
      </c>
      <c r="P218" s="2">
        <v>0.89513888888888893</v>
      </c>
      <c r="Q218" s="2">
        <v>0.91874999999999996</v>
      </c>
      <c r="R218" s="2">
        <v>0.92500000000000004</v>
      </c>
      <c r="S218" s="2">
        <v>0.94791666666666663</v>
      </c>
      <c r="T218" t="s">
        <v>7</v>
      </c>
      <c r="U218" t="s">
        <v>263</v>
      </c>
      <c r="V218" t="s">
        <v>8</v>
      </c>
      <c r="X218" t="s">
        <v>209</v>
      </c>
      <c r="Y218" t="s">
        <v>80</v>
      </c>
      <c r="Z218">
        <v>1</v>
      </c>
      <c r="AA218">
        <v>4</v>
      </c>
      <c r="AB218" t="s">
        <v>11</v>
      </c>
      <c r="AC218" t="s">
        <v>12</v>
      </c>
      <c r="AD218" t="s">
        <v>20</v>
      </c>
      <c r="AE218" t="s">
        <v>14</v>
      </c>
      <c r="AF218" s="1">
        <v>13252</v>
      </c>
      <c r="AG218">
        <f t="shared" ca="1" si="11"/>
        <v>89</v>
      </c>
    </row>
    <row r="219" spans="1:33" x14ac:dyDescent="0.2">
      <c r="A219" s="1">
        <v>46044</v>
      </c>
      <c r="B219" t="str">
        <f t="shared" si="9"/>
        <v>jeudi</v>
      </c>
      <c r="C219" t="str">
        <f t="shared" si="10"/>
        <v>Nuit</v>
      </c>
      <c r="D219">
        <v>1500184</v>
      </c>
      <c r="E219">
        <v>2605404</v>
      </c>
      <c r="F219" t="s">
        <v>45</v>
      </c>
      <c r="G219" t="s">
        <v>1</v>
      </c>
      <c r="H219" t="s">
        <v>103</v>
      </c>
      <c r="I219" t="s">
        <v>41</v>
      </c>
      <c r="J219" t="s">
        <v>4</v>
      </c>
      <c r="K219">
        <v>60704</v>
      </c>
      <c r="L219" t="s">
        <v>5</v>
      </c>
      <c r="M219" t="s">
        <v>6</v>
      </c>
      <c r="N219" s="2">
        <v>0.96944444444444444</v>
      </c>
      <c r="O219" s="2">
        <v>0.97013888888888888</v>
      </c>
      <c r="P219" s="2">
        <v>0.97499999999999998</v>
      </c>
      <c r="Q219" s="2">
        <v>0.99444444444444446</v>
      </c>
      <c r="R219" s="2">
        <v>5.5555555555555558E-3</v>
      </c>
      <c r="S219" s="2">
        <v>3.3333333333333333E-2</v>
      </c>
      <c r="T219" t="s">
        <v>7</v>
      </c>
      <c r="U219" t="s">
        <v>251</v>
      </c>
      <c r="V219" t="s">
        <v>8</v>
      </c>
      <c r="X219" t="s">
        <v>192</v>
      </c>
      <c r="Y219" t="s">
        <v>193</v>
      </c>
      <c r="Z219">
        <v>2</v>
      </c>
      <c r="AA219">
        <v>3</v>
      </c>
      <c r="AB219" t="s">
        <v>11</v>
      </c>
      <c r="AC219" t="s">
        <v>12</v>
      </c>
      <c r="AD219" t="s">
        <v>20</v>
      </c>
      <c r="AE219" t="s">
        <v>14</v>
      </c>
      <c r="AF219" s="1">
        <v>12465</v>
      </c>
      <c r="AG219">
        <f t="shared" ca="1" si="11"/>
        <v>91</v>
      </c>
    </row>
    <row r="220" spans="1:33" x14ac:dyDescent="0.2">
      <c r="A220" s="1">
        <v>46043</v>
      </c>
      <c r="B220" t="str">
        <f t="shared" si="9"/>
        <v>mercredi</v>
      </c>
      <c r="C220" t="str">
        <f t="shared" si="10"/>
        <v>Nuit</v>
      </c>
      <c r="D220">
        <v>1500499</v>
      </c>
      <c r="E220">
        <v>2605403</v>
      </c>
      <c r="F220" t="s">
        <v>25</v>
      </c>
      <c r="G220" t="s">
        <v>25</v>
      </c>
      <c r="H220" t="s">
        <v>197</v>
      </c>
      <c r="I220" t="s">
        <v>213</v>
      </c>
      <c r="J220" t="s">
        <v>4</v>
      </c>
      <c r="K220">
        <v>60706</v>
      </c>
      <c r="L220" t="s">
        <v>5</v>
      </c>
      <c r="M220" t="s">
        <v>6</v>
      </c>
      <c r="N220" s="2">
        <v>0.96250000000000002</v>
      </c>
      <c r="O220" s="2">
        <v>0.96666666666666667</v>
      </c>
      <c r="P220" s="2">
        <v>0.97430555555555554</v>
      </c>
      <c r="Q220" s="2">
        <v>0.98472222222222228</v>
      </c>
      <c r="R220" s="2">
        <v>0.98888888888888893</v>
      </c>
      <c r="S220" s="2">
        <v>0.99930555555555556</v>
      </c>
      <c r="T220" t="s">
        <v>24</v>
      </c>
      <c r="U220" t="s">
        <v>251</v>
      </c>
      <c r="V220" t="s">
        <v>8</v>
      </c>
      <c r="X220" t="s">
        <v>33</v>
      </c>
      <c r="Y220" t="s">
        <v>221</v>
      </c>
      <c r="Z220">
        <v>3</v>
      </c>
      <c r="AA220">
        <v>3</v>
      </c>
      <c r="AB220" t="s">
        <v>11</v>
      </c>
      <c r="AC220" t="s">
        <v>12</v>
      </c>
      <c r="AD220" t="s">
        <v>20</v>
      </c>
      <c r="AE220" t="s">
        <v>29</v>
      </c>
      <c r="AF220" s="1">
        <v>27515</v>
      </c>
      <c r="AG220">
        <f t="shared" ca="1" si="11"/>
        <v>50</v>
      </c>
    </row>
    <row r="221" spans="1:33" x14ac:dyDescent="0.2">
      <c r="A221" s="1">
        <v>46043</v>
      </c>
      <c r="B221" t="str">
        <f t="shared" si="9"/>
        <v>mercredi</v>
      </c>
      <c r="C221" t="str">
        <f t="shared" si="10"/>
        <v>Nuit</v>
      </c>
      <c r="D221">
        <v>1494466</v>
      </c>
      <c r="E221">
        <v>2605374</v>
      </c>
      <c r="F221" t="s">
        <v>0</v>
      </c>
      <c r="G221" t="s">
        <v>16</v>
      </c>
      <c r="H221" t="s">
        <v>26</v>
      </c>
      <c r="I221" t="s">
        <v>239</v>
      </c>
      <c r="J221" t="s">
        <v>4</v>
      </c>
      <c r="K221">
        <v>60708</v>
      </c>
      <c r="L221" t="s">
        <v>5</v>
      </c>
      <c r="M221" t="s">
        <v>6</v>
      </c>
      <c r="N221" s="2">
        <v>0.86944444444444446</v>
      </c>
      <c r="O221" s="2">
        <v>0.87013888888888891</v>
      </c>
      <c r="P221" s="2">
        <v>0.88541666666666663</v>
      </c>
      <c r="Q221" s="2">
        <v>0.90208333333333335</v>
      </c>
      <c r="R221" s="2">
        <v>0.91249999999999998</v>
      </c>
      <c r="S221" s="2">
        <v>0.9375</v>
      </c>
      <c r="T221" t="s">
        <v>24</v>
      </c>
      <c r="U221" t="s">
        <v>27</v>
      </c>
      <c r="V221" t="s">
        <v>8</v>
      </c>
      <c r="X221" t="s">
        <v>214</v>
      </c>
      <c r="Y221" t="s">
        <v>215</v>
      </c>
      <c r="Z221">
        <v>1</v>
      </c>
      <c r="AA221">
        <v>4</v>
      </c>
      <c r="AB221" t="s">
        <v>11</v>
      </c>
      <c r="AC221" t="s">
        <v>12</v>
      </c>
      <c r="AD221" t="s">
        <v>20</v>
      </c>
      <c r="AE221" t="s">
        <v>29</v>
      </c>
      <c r="AF221" s="1">
        <v>29621</v>
      </c>
      <c r="AG221">
        <f t="shared" ca="1" si="11"/>
        <v>45</v>
      </c>
    </row>
    <row r="222" spans="1:33" x14ac:dyDescent="0.2">
      <c r="A222" s="1">
        <v>46043</v>
      </c>
      <c r="B222" t="str">
        <f t="shared" si="9"/>
        <v>mercredi</v>
      </c>
      <c r="C222" t="str">
        <f t="shared" si="10"/>
        <v>Jour</v>
      </c>
      <c r="D222">
        <v>1494465</v>
      </c>
      <c r="E222">
        <v>2605347</v>
      </c>
      <c r="F222" t="s">
        <v>0</v>
      </c>
      <c r="G222" t="s">
        <v>1</v>
      </c>
      <c r="H222" t="s">
        <v>239</v>
      </c>
      <c r="I222" t="s">
        <v>26</v>
      </c>
      <c r="J222" t="s">
        <v>4</v>
      </c>
      <c r="K222">
        <v>60708</v>
      </c>
      <c r="L222" t="s">
        <v>5</v>
      </c>
      <c r="M222" t="s">
        <v>6</v>
      </c>
      <c r="N222" s="2">
        <v>0.80972222222222223</v>
      </c>
      <c r="O222" s="2">
        <v>0.81041666666666667</v>
      </c>
      <c r="P222" s="2">
        <v>0.81319444444444444</v>
      </c>
      <c r="Q222" s="2">
        <v>0.82847222222222228</v>
      </c>
      <c r="R222" s="2">
        <v>0.83263888888888893</v>
      </c>
      <c r="S222" s="2">
        <v>0.86319444444444449</v>
      </c>
      <c r="T222" t="s">
        <v>24</v>
      </c>
      <c r="U222" t="s">
        <v>265</v>
      </c>
      <c r="V222" t="s">
        <v>8</v>
      </c>
      <c r="X222" t="s">
        <v>214</v>
      </c>
      <c r="Y222" t="s">
        <v>215</v>
      </c>
      <c r="Z222">
        <v>1</v>
      </c>
      <c r="AA222">
        <v>4</v>
      </c>
      <c r="AB222" t="s">
        <v>11</v>
      </c>
      <c r="AC222" t="s">
        <v>12</v>
      </c>
      <c r="AD222" t="s">
        <v>20</v>
      </c>
      <c r="AE222" t="s">
        <v>14</v>
      </c>
      <c r="AF222" s="1">
        <v>31936</v>
      </c>
      <c r="AG222">
        <f t="shared" ca="1" si="11"/>
        <v>38</v>
      </c>
    </row>
    <row r="223" spans="1:33" x14ac:dyDescent="0.2">
      <c r="A223" s="1">
        <v>46043</v>
      </c>
      <c r="B223" t="str">
        <f t="shared" si="9"/>
        <v>mercredi</v>
      </c>
      <c r="C223" t="str">
        <f t="shared" si="10"/>
        <v>Jour</v>
      </c>
      <c r="D223">
        <v>1500182</v>
      </c>
      <c r="E223">
        <v>2605351</v>
      </c>
      <c r="F223" t="s">
        <v>45</v>
      </c>
      <c r="G223" t="s">
        <v>16</v>
      </c>
      <c r="H223" t="s">
        <v>103</v>
      </c>
      <c r="I223" t="s">
        <v>41</v>
      </c>
      <c r="J223" t="s">
        <v>4</v>
      </c>
      <c r="K223">
        <v>60704</v>
      </c>
      <c r="L223" t="s">
        <v>5</v>
      </c>
      <c r="M223" t="s">
        <v>6</v>
      </c>
      <c r="N223" s="2">
        <v>0.82430555555555551</v>
      </c>
      <c r="O223" s="2">
        <v>0.82499999999999996</v>
      </c>
      <c r="P223" s="2">
        <v>0.83263888888888893</v>
      </c>
      <c r="Q223" s="2">
        <v>0.84791666666666665</v>
      </c>
      <c r="R223" s="2">
        <v>0.85277777777777775</v>
      </c>
      <c r="S223" s="2">
        <v>0.875</v>
      </c>
      <c r="T223" t="s">
        <v>43</v>
      </c>
      <c r="U223" t="s">
        <v>251</v>
      </c>
      <c r="V223" t="s">
        <v>8</v>
      </c>
      <c r="X223" t="s">
        <v>19</v>
      </c>
      <c r="Y223" t="s">
        <v>126</v>
      </c>
      <c r="Z223">
        <v>2</v>
      </c>
      <c r="AA223">
        <v>3</v>
      </c>
      <c r="AB223" t="s">
        <v>11</v>
      </c>
      <c r="AC223" t="s">
        <v>12</v>
      </c>
      <c r="AD223" t="s">
        <v>20</v>
      </c>
      <c r="AE223" t="s">
        <v>14</v>
      </c>
      <c r="AF223" s="1">
        <v>30686</v>
      </c>
      <c r="AG223">
        <f t="shared" ca="1" si="11"/>
        <v>42</v>
      </c>
    </row>
    <row r="224" spans="1:33" x14ac:dyDescent="0.2">
      <c r="A224" s="1">
        <v>46043</v>
      </c>
      <c r="B224" t="str">
        <f t="shared" si="9"/>
        <v>mercredi</v>
      </c>
      <c r="C224" t="str">
        <f t="shared" si="10"/>
        <v>Jour</v>
      </c>
      <c r="D224">
        <v>1500178</v>
      </c>
      <c r="E224">
        <v>2605222</v>
      </c>
      <c r="F224" t="s">
        <v>21</v>
      </c>
      <c r="G224" t="s">
        <v>16</v>
      </c>
      <c r="H224" t="s">
        <v>41</v>
      </c>
      <c r="I224" t="s">
        <v>115</v>
      </c>
      <c r="J224" t="s">
        <v>256</v>
      </c>
      <c r="K224">
        <v>60704</v>
      </c>
      <c r="L224" t="s">
        <v>5</v>
      </c>
      <c r="M224" t="s">
        <v>6</v>
      </c>
      <c r="N224" s="2">
        <v>0.41875000000000001</v>
      </c>
      <c r="O224" s="2">
        <v>0.4201388888888889</v>
      </c>
      <c r="P224" s="2">
        <v>0.42638888888888887</v>
      </c>
      <c r="Q224" s="2">
        <v>0.44097222222222221</v>
      </c>
      <c r="R224" s="2">
        <v>0.45</v>
      </c>
      <c r="S224" s="2">
        <v>0.47222222222222221</v>
      </c>
      <c r="T224" t="s">
        <v>64</v>
      </c>
      <c r="U224" t="s">
        <v>251</v>
      </c>
      <c r="V224" t="s">
        <v>8</v>
      </c>
      <c r="X224" t="s">
        <v>264</v>
      </c>
      <c r="Y224" t="s">
        <v>222</v>
      </c>
      <c r="Z224">
        <v>2</v>
      </c>
      <c r="AA224">
        <v>3</v>
      </c>
      <c r="AB224" t="s">
        <v>11</v>
      </c>
      <c r="AC224" t="s">
        <v>12</v>
      </c>
      <c r="AD224" t="s">
        <v>20</v>
      </c>
      <c r="AE224" t="s">
        <v>29</v>
      </c>
      <c r="AF224" s="1">
        <v>34339</v>
      </c>
      <c r="AG224">
        <f t="shared" ca="1" si="11"/>
        <v>32</v>
      </c>
    </row>
    <row r="225" spans="1:33" x14ac:dyDescent="0.2">
      <c r="A225" s="1">
        <v>46043</v>
      </c>
      <c r="B225" t="str">
        <f t="shared" si="9"/>
        <v>mercredi</v>
      </c>
      <c r="C225" t="str">
        <f t="shared" si="10"/>
        <v>Jour</v>
      </c>
      <c r="D225">
        <v>1500498</v>
      </c>
      <c r="E225">
        <v>265335</v>
      </c>
      <c r="F225" t="s">
        <v>25</v>
      </c>
      <c r="G225" t="s">
        <v>25</v>
      </c>
      <c r="H225" t="s">
        <v>197</v>
      </c>
      <c r="I225" t="s">
        <v>213</v>
      </c>
      <c r="J225" t="s">
        <v>4</v>
      </c>
      <c r="K225">
        <v>60706</v>
      </c>
      <c r="L225" t="s">
        <v>5</v>
      </c>
      <c r="M225" t="s">
        <v>6</v>
      </c>
      <c r="N225" s="2">
        <v>0.78125</v>
      </c>
      <c r="O225" s="2">
        <v>0.78333333333333333</v>
      </c>
      <c r="P225" s="2">
        <v>0.79305555555555551</v>
      </c>
      <c r="Q225" s="2">
        <v>0.80625000000000002</v>
      </c>
      <c r="R225" s="2">
        <v>0.81805555555555554</v>
      </c>
      <c r="S225" s="2">
        <v>0.82638888888888884</v>
      </c>
      <c r="T225" t="s">
        <v>8</v>
      </c>
      <c r="U225" t="s">
        <v>32</v>
      </c>
      <c r="V225" t="s">
        <v>8</v>
      </c>
      <c r="X225" t="s">
        <v>66</v>
      </c>
      <c r="Y225" t="s">
        <v>133</v>
      </c>
      <c r="Z225">
        <v>3</v>
      </c>
      <c r="AA225">
        <v>3</v>
      </c>
      <c r="AB225" t="s">
        <v>11</v>
      </c>
      <c r="AC225" t="s">
        <v>12</v>
      </c>
      <c r="AD225" t="s">
        <v>20</v>
      </c>
      <c r="AE225" t="s">
        <v>29</v>
      </c>
      <c r="AF225" s="1">
        <v>12821</v>
      </c>
      <c r="AG225">
        <f t="shared" ca="1" si="11"/>
        <v>91</v>
      </c>
    </row>
    <row r="226" spans="1:33" x14ac:dyDescent="0.2">
      <c r="A226" s="1">
        <v>46043</v>
      </c>
      <c r="B226" t="str">
        <f t="shared" si="9"/>
        <v>mercredi</v>
      </c>
      <c r="C226" t="str">
        <f t="shared" si="10"/>
        <v>Nuit</v>
      </c>
      <c r="D226">
        <v>1510851</v>
      </c>
      <c r="E226">
        <v>2605363</v>
      </c>
      <c r="F226" t="s">
        <v>117</v>
      </c>
      <c r="G226" t="s">
        <v>25</v>
      </c>
      <c r="H226" t="s">
        <v>213</v>
      </c>
      <c r="I226" t="s">
        <v>197</v>
      </c>
      <c r="J226" t="s">
        <v>4</v>
      </c>
      <c r="K226">
        <v>60706</v>
      </c>
      <c r="L226" t="s">
        <v>5</v>
      </c>
      <c r="M226" t="s">
        <v>6</v>
      </c>
      <c r="N226" s="2">
        <v>0.84444444444444444</v>
      </c>
      <c r="O226" s="2">
        <v>0.84513888888888888</v>
      </c>
      <c r="P226" s="2">
        <v>0.8520833333333333</v>
      </c>
      <c r="Q226" s="2">
        <v>0.86805555555555558</v>
      </c>
      <c r="R226" s="2">
        <v>0.87708333333333333</v>
      </c>
      <c r="S226" s="2">
        <v>0.89583333333333337</v>
      </c>
      <c r="T226" t="s">
        <v>7</v>
      </c>
      <c r="U226" t="s">
        <v>82</v>
      </c>
      <c r="V226" t="s">
        <v>8</v>
      </c>
      <c r="X226" t="s">
        <v>206</v>
      </c>
      <c r="Y226" t="s">
        <v>208</v>
      </c>
      <c r="Z226">
        <v>3</v>
      </c>
      <c r="AA226">
        <v>3</v>
      </c>
      <c r="AB226" t="s">
        <v>11</v>
      </c>
      <c r="AC226" t="s">
        <v>12</v>
      </c>
      <c r="AD226" t="s">
        <v>20</v>
      </c>
      <c r="AE226" t="s">
        <v>14</v>
      </c>
      <c r="AF226" s="1">
        <v>17472</v>
      </c>
      <c r="AG226">
        <f t="shared" ca="1" si="11"/>
        <v>78</v>
      </c>
    </row>
    <row r="227" spans="1:33" x14ac:dyDescent="0.2">
      <c r="A227" s="1">
        <v>46043</v>
      </c>
      <c r="B227" t="str">
        <f t="shared" si="9"/>
        <v>mercredi</v>
      </c>
      <c r="C227" t="str">
        <f t="shared" si="10"/>
        <v>Nuit</v>
      </c>
      <c r="D227">
        <v>1510934</v>
      </c>
      <c r="E227">
        <v>2605174</v>
      </c>
      <c r="F227" t="s">
        <v>0</v>
      </c>
      <c r="G227" t="s">
        <v>16</v>
      </c>
      <c r="H227" t="s">
        <v>26</v>
      </c>
      <c r="I227" t="s">
        <v>99</v>
      </c>
      <c r="J227" t="s">
        <v>4</v>
      </c>
      <c r="K227">
        <v>60709</v>
      </c>
      <c r="L227" t="s">
        <v>5</v>
      </c>
      <c r="M227" t="s">
        <v>6</v>
      </c>
      <c r="N227" s="2">
        <v>0.12708333333333333</v>
      </c>
      <c r="O227" s="2">
        <v>0.12847222222222221</v>
      </c>
      <c r="P227" s="2">
        <v>0.13194444444444445</v>
      </c>
      <c r="Q227" s="2">
        <v>0.1451388888888889</v>
      </c>
      <c r="R227" s="2">
        <v>0.15208333333333332</v>
      </c>
      <c r="S227" s="2">
        <v>0.1875</v>
      </c>
      <c r="T227" t="s">
        <v>43</v>
      </c>
      <c r="U227" t="s">
        <v>263</v>
      </c>
      <c r="V227" t="s">
        <v>8</v>
      </c>
      <c r="X227" t="s">
        <v>192</v>
      </c>
      <c r="Y227" t="s">
        <v>193</v>
      </c>
      <c r="Z227">
        <v>2</v>
      </c>
      <c r="AA227">
        <v>4</v>
      </c>
      <c r="AB227" t="s">
        <v>11</v>
      </c>
      <c r="AC227" t="s">
        <v>28</v>
      </c>
      <c r="AD227" t="s">
        <v>107</v>
      </c>
      <c r="AE227" t="s">
        <v>29</v>
      </c>
      <c r="AF227" s="1">
        <v>31846</v>
      </c>
      <c r="AG227">
        <f t="shared" ca="1" si="11"/>
        <v>38</v>
      </c>
    </row>
    <row r="228" spans="1:33" x14ac:dyDescent="0.2">
      <c r="A228" s="1">
        <v>46043</v>
      </c>
      <c r="B228" t="str">
        <f t="shared" si="9"/>
        <v>mercredi</v>
      </c>
      <c r="C228" t="str">
        <f t="shared" si="10"/>
        <v>Jour</v>
      </c>
      <c r="D228">
        <v>1500497</v>
      </c>
      <c r="E228">
        <v>2605305</v>
      </c>
      <c r="F228" t="s">
        <v>25</v>
      </c>
      <c r="G228" t="s">
        <v>25</v>
      </c>
      <c r="H228" t="s">
        <v>23</v>
      </c>
      <c r="I228" t="s">
        <v>189</v>
      </c>
      <c r="J228" t="s">
        <v>4</v>
      </c>
      <c r="K228">
        <v>60706</v>
      </c>
      <c r="L228" t="s">
        <v>5</v>
      </c>
      <c r="M228" t="s">
        <v>6</v>
      </c>
      <c r="N228" s="2">
        <v>0.67847222222222225</v>
      </c>
      <c r="O228" s="2">
        <v>0.68263888888888891</v>
      </c>
      <c r="P228" s="2">
        <v>0.68263888888888891</v>
      </c>
      <c r="Q228" s="2">
        <v>0.69097222222222221</v>
      </c>
      <c r="R228" s="2">
        <v>0.69861111111111107</v>
      </c>
      <c r="S228" s="2">
        <v>0.71597222222222223</v>
      </c>
      <c r="T228" t="s">
        <v>43</v>
      </c>
      <c r="U228" t="s">
        <v>265</v>
      </c>
      <c r="V228" t="s">
        <v>8</v>
      </c>
      <c r="X228" t="s">
        <v>19</v>
      </c>
      <c r="Y228" t="s">
        <v>220</v>
      </c>
      <c r="Z228">
        <v>1</v>
      </c>
      <c r="AA228">
        <v>3</v>
      </c>
      <c r="AB228" t="s">
        <v>11</v>
      </c>
      <c r="AC228" t="s">
        <v>12</v>
      </c>
      <c r="AD228" t="s">
        <v>20</v>
      </c>
      <c r="AE228" t="s">
        <v>14</v>
      </c>
      <c r="AF228" s="1">
        <v>31463</v>
      </c>
      <c r="AG228">
        <f t="shared" ca="1" si="11"/>
        <v>39</v>
      </c>
    </row>
    <row r="229" spans="1:33" x14ac:dyDescent="0.2">
      <c r="A229" s="1">
        <v>46043</v>
      </c>
      <c r="B229" t="str">
        <f t="shared" si="9"/>
        <v>mercredi</v>
      </c>
      <c r="C229" t="str">
        <f t="shared" si="10"/>
        <v>Jour</v>
      </c>
      <c r="D229">
        <v>1500180</v>
      </c>
      <c r="E229">
        <v>2605248</v>
      </c>
      <c r="F229" t="s">
        <v>21</v>
      </c>
      <c r="G229" t="s">
        <v>1</v>
      </c>
      <c r="H229" t="s">
        <v>115</v>
      </c>
      <c r="I229" t="s">
        <v>41</v>
      </c>
      <c r="J229" t="s">
        <v>256</v>
      </c>
      <c r="K229">
        <v>60704</v>
      </c>
      <c r="L229" t="s">
        <v>5</v>
      </c>
      <c r="M229" t="s">
        <v>6</v>
      </c>
      <c r="N229" s="2">
        <v>0.50208333333333333</v>
      </c>
      <c r="O229" s="2">
        <v>0.50347222222222221</v>
      </c>
      <c r="P229" s="2">
        <v>0.50763888888888886</v>
      </c>
      <c r="Q229" s="2">
        <v>0.53125</v>
      </c>
      <c r="R229" s="2">
        <v>0.53680555555555554</v>
      </c>
      <c r="S229" s="2">
        <v>0.56944444444444442</v>
      </c>
      <c r="T229" t="s">
        <v>87</v>
      </c>
      <c r="U229" t="s">
        <v>265</v>
      </c>
      <c r="V229" t="s">
        <v>8</v>
      </c>
      <c r="X229" t="s">
        <v>134</v>
      </c>
      <c r="Y229" t="s">
        <v>241</v>
      </c>
      <c r="Z229">
        <v>1</v>
      </c>
      <c r="AA229">
        <v>4</v>
      </c>
      <c r="AB229" t="s">
        <v>11</v>
      </c>
      <c r="AC229" t="s">
        <v>28</v>
      </c>
      <c r="AD229" t="s">
        <v>44</v>
      </c>
      <c r="AE229" t="s">
        <v>29</v>
      </c>
      <c r="AF229" s="1">
        <v>31692</v>
      </c>
      <c r="AG229">
        <f t="shared" ca="1" si="11"/>
        <v>39</v>
      </c>
    </row>
    <row r="230" spans="1:33" x14ac:dyDescent="0.2">
      <c r="A230" s="1">
        <v>46038</v>
      </c>
      <c r="B230" t="str">
        <f t="shared" si="9"/>
        <v>vendredi</v>
      </c>
      <c r="C230" t="str">
        <f t="shared" si="10"/>
        <v>Jour</v>
      </c>
      <c r="D230">
        <v>1500158</v>
      </c>
      <c r="E230">
        <v>2587406</v>
      </c>
      <c r="F230" t="s">
        <v>25</v>
      </c>
      <c r="G230" t="s">
        <v>25</v>
      </c>
      <c r="H230" t="s">
        <v>189</v>
      </c>
      <c r="I230" t="s">
        <v>234</v>
      </c>
      <c r="J230" t="s">
        <v>4</v>
      </c>
      <c r="K230">
        <v>60704</v>
      </c>
      <c r="L230" t="s">
        <v>5</v>
      </c>
      <c r="M230" t="s">
        <v>6</v>
      </c>
      <c r="N230" s="2">
        <v>0.70833333333333337</v>
      </c>
      <c r="O230" s="2">
        <v>0.71319444444444446</v>
      </c>
      <c r="P230" s="2">
        <v>0.7270833333333333</v>
      </c>
      <c r="Q230" s="2">
        <v>0.73611111111111116</v>
      </c>
      <c r="R230" s="2">
        <v>0.75</v>
      </c>
      <c r="S230" s="2">
        <v>0.77083333333333337</v>
      </c>
      <c r="T230" t="s">
        <v>38</v>
      </c>
      <c r="U230" t="s">
        <v>263</v>
      </c>
      <c r="V230" t="s">
        <v>8</v>
      </c>
      <c r="X230" t="s">
        <v>74</v>
      </c>
      <c r="Y230" t="s">
        <v>75</v>
      </c>
      <c r="Z230">
        <v>3</v>
      </c>
      <c r="AA230">
        <v>2</v>
      </c>
      <c r="AB230" t="s">
        <v>11</v>
      </c>
      <c r="AC230" t="s">
        <v>28</v>
      </c>
      <c r="AD230" t="s">
        <v>44</v>
      </c>
      <c r="AE230" t="s">
        <v>14</v>
      </c>
      <c r="AF230" s="1">
        <v>11589</v>
      </c>
      <c r="AG230">
        <f t="shared" ca="1" si="11"/>
        <v>94</v>
      </c>
    </row>
    <row r="231" spans="1:33" x14ac:dyDescent="0.2">
      <c r="A231" s="1">
        <v>46037</v>
      </c>
      <c r="B231" t="str">
        <f t="shared" si="9"/>
        <v>jeudi</v>
      </c>
      <c r="C231" t="str">
        <f t="shared" si="10"/>
        <v>Jour</v>
      </c>
      <c r="D231">
        <v>1500244</v>
      </c>
      <c r="E231">
        <v>2587057</v>
      </c>
      <c r="F231" t="s">
        <v>15</v>
      </c>
      <c r="G231" t="s">
        <v>16</v>
      </c>
      <c r="H231" t="s">
        <v>81</v>
      </c>
      <c r="I231" t="s">
        <v>37</v>
      </c>
      <c r="J231" t="s">
        <v>50</v>
      </c>
      <c r="K231">
        <v>60709</v>
      </c>
      <c r="L231" t="s">
        <v>5</v>
      </c>
      <c r="M231" t="s">
        <v>6</v>
      </c>
      <c r="N231" s="2">
        <v>0.37986111111111109</v>
      </c>
      <c r="O231" s="2">
        <v>0.38124999999999998</v>
      </c>
      <c r="P231" s="2">
        <v>0.3888888888888889</v>
      </c>
      <c r="Q231" s="2">
        <v>0.40416666666666667</v>
      </c>
      <c r="R231" s="2">
        <v>0.4152777777777778</v>
      </c>
      <c r="S231" s="2">
        <v>0.43402777777777779</v>
      </c>
      <c r="T231" t="s">
        <v>7</v>
      </c>
      <c r="U231" t="s">
        <v>265</v>
      </c>
      <c r="V231" t="s">
        <v>8</v>
      </c>
      <c r="X231" t="s">
        <v>33</v>
      </c>
      <c r="Y231" t="s">
        <v>79</v>
      </c>
      <c r="Z231">
        <v>2</v>
      </c>
      <c r="AA231">
        <v>2</v>
      </c>
      <c r="AB231" t="s">
        <v>11</v>
      </c>
      <c r="AC231" t="s">
        <v>12</v>
      </c>
      <c r="AD231" t="s">
        <v>20</v>
      </c>
      <c r="AE231" t="s">
        <v>14</v>
      </c>
      <c r="AF231" s="1">
        <v>13895</v>
      </c>
      <c r="AG231">
        <f t="shared" ca="1" si="11"/>
        <v>88</v>
      </c>
    </row>
    <row r="232" spans="1:33" x14ac:dyDescent="0.2">
      <c r="A232" s="1">
        <v>46037</v>
      </c>
      <c r="B232" t="str">
        <f t="shared" si="9"/>
        <v>jeudi</v>
      </c>
      <c r="C232" t="str">
        <f t="shared" si="10"/>
        <v>Jour</v>
      </c>
      <c r="D232">
        <v>1500246</v>
      </c>
      <c r="E232">
        <v>2587114</v>
      </c>
      <c r="F232" t="s">
        <v>15</v>
      </c>
      <c r="G232" t="s">
        <v>16</v>
      </c>
      <c r="H232" t="s">
        <v>81</v>
      </c>
      <c r="I232" t="s">
        <v>37</v>
      </c>
      <c r="J232" t="s">
        <v>4</v>
      </c>
      <c r="K232">
        <v>60709</v>
      </c>
      <c r="L232" t="s">
        <v>5</v>
      </c>
      <c r="M232" t="s">
        <v>6</v>
      </c>
      <c r="N232" s="2">
        <v>0.54027777777777775</v>
      </c>
      <c r="O232" s="2">
        <v>0.54027777777777775</v>
      </c>
      <c r="P232" s="2">
        <v>0.54374999999999996</v>
      </c>
      <c r="Q232" s="2">
        <v>0.55902777777777779</v>
      </c>
      <c r="R232" s="2">
        <v>0.57291666666666663</v>
      </c>
      <c r="S232" s="2">
        <v>0.59375</v>
      </c>
      <c r="T232" t="s">
        <v>7</v>
      </c>
      <c r="U232" t="s">
        <v>32</v>
      </c>
      <c r="V232" t="s">
        <v>8</v>
      </c>
      <c r="X232" t="s">
        <v>190</v>
      </c>
      <c r="Y232" t="s">
        <v>191</v>
      </c>
      <c r="Z232">
        <v>2</v>
      </c>
      <c r="AA232">
        <v>3</v>
      </c>
      <c r="AB232" t="s">
        <v>11</v>
      </c>
      <c r="AC232" t="s">
        <v>12</v>
      </c>
      <c r="AD232" t="s">
        <v>20</v>
      </c>
      <c r="AE232" t="s">
        <v>14</v>
      </c>
      <c r="AF232" s="1">
        <v>21085</v>
      </c>
      <c r="AG232">
        <f t="shared" ca="1" si="11"/>
        <v>68</v>
      </c>
    </row>
    <row r="233" spans="1:33" x14ac:dyDescent="0.2">
      <c r="A233" s="1">
        <v>46042</v>
      </c>
      <c r="B233" t="str">
        <f t="shared" si="9"/>
        <v>mardi</v>
      </c>
      <c r="C233" t="str">
        <f t="shared" si="10"/>
        <v>Nuit</v>
      </c>
      <c r="D233">
        <v>1500177</v>
      </c>
      <c r="E233">
        <v>2605152</v>
      </c>
      <c r="F233" t="s">
        <v>45</v>
      </c>
      <c r="G233" t="s">
        <v>16</v>
      </c>
      <c r="H233" t="s">
        <v>103</v>
      </c>
      <c r="I233" t="s">
        <v>213</v>
      </c>
      <c r="J233" t="s">
        <v>4</v>
      </c>
      <c r="K233">
        <v>60704</v>
      </c>
      <c r="L233" t="s">
        <v>5</v>
      </c>
      <c r="M233" t="s">
        <v>6</v>
      </c>
      <c r="N233" s="2">
        <v>0.98263888888888884</v>
      </c>
      <c r="O233" s="2">
        <v>0.98472222222222228</v>
      </c>
      <c r="P233" s="2">
        <v>0.99027777777777781</v>
      </c>
      <c r="Q233" s="2">
        <v>0.99930555555555556</v>
      </c>
      <c r="R233" s="2">
        <v>3.472222222222222E-3</v>
      </c>
      <c r="S233" s="2">
        <v>2.0833333333333332E-2</v>
      </c>
      <c r="T233" t="s">
        <v>24</v>
      </c>
      <c r="U233" t="s">
        <v>265</v>
      </c>
      <c r="V233" t="s">
        <v>8</v>
      </c>
      <c r="X233" t="s">
        <v>9</v>
      </c>
      <c r="Y233" t="s">
        <v>221</v>
      </c>
      <c r="Z233">
        <v>2</v>
      </c>
      <c r="AA233">
        <v>4</v>
      </c>
      <c r="AB233" t="s">
        <v>11</v>
      </c>
      <c r="AC233" t="s">
        <v>12</v>
      </c>
      <c r="AD233" t="s">
        <v>13</v>
      </c>
      <c r="AE233" t="s">
        <v>29</v>
      </c>
      <c r="AF233" s="1">
        <v>18715</v>
      </c>
      <c r="AG233">
        <f t="shared" ca="1" si="11"/>
        <v>74</v>
      </c>
    </row>
    <row r="234" spans="1:33" x14ac:dyDescent="0.2">
      <c r="A234" s="1">
        <v>46042</v>
      </c>
      <c r="B234" t="str">
        <f t="shared" si="9"/>
        <v>mardi</v>
      </c>
      <c r="C234" t="str">
        <f t="shared" si="10"/>
        <v>Nuit</v>
      </c>
      <c r="D234">
        <v>1510932</v>
      </c>
      <c r="E234">
        <v>2605139</v>
      </c>
      <c r="F234" t="s">
        <v>0</v>
      </c>
      <c r="G234" t="s">
        <v>16</v>
      </c>
      <c r="H234" t="s">
        <v>26</v>
      </c>
      <c r="I234" t="s">
        <v>99</v>
      </c>
      <c r="J234" t="s">
        <v>4</v>
      </c>
      <c r="K234">
        <v>60709</v>
      </c>
      <c r="L234" t="s">
        <v>5</v>
      </c>
      <c r="M234" t="s">
        <v>6</v>
      </c>
      <c r="N234" s="2">
        <v>0.90972222222222221</v>
      </c>
      <c r="O234" s="2">
        <v>0.91111111111111109</v>
      </c>
      <c r="P234" s="2">
        <v>0.91666666666666663</v>
      </c>
      <c r="Q234" s="2">
        <v>0.94166666666666665</v>
      </c>
      <c r="R234" s="2">
        <v>0.95208333333333328</v>
      </c>
      <c r="S234" s="2">
        <v>0.97222222222222221</v>
      </c>
      <c r="T234" t="s">
        <v>7</v>
      </c>
      <c r="U234" t="s">
        <v>32</v>
      </c>
      <c r="V234" t="s">
        <v>8</v>
      </c>
      <c r="X234" t="s">
        <v>66</v>
      </c>
      <c r="Y234" t="s">
        <v>85</v>
      </c>
      <c r="Z234">
        <v>3</v>
      </c>
      <c r="AA234">
        <v>3</v>
      </c>
      <c r="AB234" t="s">
        <v>11</v>
      </c>
      <c r="AC234" t="s">
        <v>12</v>
      </c>
      <c r="AD234" t="s">
        <v>113</v>
      </c>
      <c r="AE234" t="s">
        <v>29</v>
      </c>
      <c r="AF234" s="1">
        <v>33622</v>
      </c>
      <c r="AG234">
        <f t="shared" ca="1" si="11"/>
        <v>34</v>
      </c>
    </row>
    <row r="235" spans="1:33" x14ac:dyDescent="0.2">
      <c r="A235" s="1">
        <v>46042</v>
      </c>
      <c r="B235" t="str">
        <f t="shared" si="9"/>
        <v>mardi</v>
      </c>
      <c r="C235" t="str">
        <f t="shared" si="10"/>
        <v>Jour</v>
      </c>
      <c r="D235">
        <v>1500176</v>
      </c>
      <c r="E235">
        <v>2605107</v>
      </c>
      <c r="F235" t="s">
        <v>45</v>
      </c>
      <c r="G235" t="s">
        <v>1</v>
      </c>
      <c r="H235" t="s">
        <v>213</v>
      </c>
      <c r="I235" t="s">
        <v>103</v>
      </c>
      <c r="J235" t="s">
        <v>4</v>
      </c>
      <c r="K235">
        <v>60704</v>
      </c>
      <c r="L235" t="s">
        <v>61</v>
      </c>
      <c r="M235" t="s">
        <v>195</v>
      </c>
      <c r="N235" s="2">
        <v>0.80208333333333337</v>
      </c>
      <c r="O235" s="2">
        <v>0.80277777777777781</v>
      </c>
      <c r="P235" s="2">
        <v>0.80833333333333335</v>
      </c>
      <c r="Q235" s="2">
        <v>0.82638888888888884</v>
      </c>
      <c r="R235" s="2">
        <v>0.83125000000000004</v>
      </c>
      <c r="S235" s="2">
        <v>0.86805555555555558</v>
      </c>
      <c r="T235" t="s">
        <v>17</v>
      </c>
      <c r="U235" t="s">
        <v>265</v>
      </c>
      <c r="V235" t="s">
        <v>8</v>
      </c>
      <c r="X235" t="s">
        <v>190</v>
      </c>
      <c r="Y235" t="s">
        <v>191</v>
      </c>
      <c r="Z235">
        <v>1</v>
      </c>
      <c r="AA235">
        <v>4</v>
      </c>
      <c r="AB235" t="s">
        <v>11</v>
      </c>
      <c r="AC235" t="s">
        <v>12</v>
      </c>
      <c r="AD235" t="s">
        <v>212</v>
      </c>
      <c r="AE235" t="s">
        <v>29</v>
      </c>
      <c r="AF235" s="1">
        <v>37322</v>
      </c>
      <c r="AG235">
        <f t="shared" ca="1" si="11"/>
        <v>23</v>
      </c>
    </row>
    <row r="236" spans="1:33" x14ac:dyDescent="0.2">
      <c r="A236" s="1">
        <v>46042</v>
      </c>
      <c r="B236" t="str">
        <f t="shared" si="9"/>
        <v>mardi</v>
      </c>
      <c r="C236" t="str">
        <f t="shared" si="10"/>
        <v>Jour</v>
      </c>
      <c r="D236">
        <v>1510931</v>
      </c>
      <c r="E236">
        <v>2605100</v>
      </c>
      <c r="F236" t="s">
        <v>0</v>
      </c>
      <c r="G236" t="s">
        <v>16</v>
      </c>
      <c r="H236" t="s">
        <v>99</v>
      </c>
      <c r="I236" t="s">
        <v>26</v>
      </c>
      <c r="J236" t="s">
        <v>4</v>
      </c>
      <c r="K236">
        <v>60709</v>
      </c>
      <c r="L236" t="s">
        <v>5</v>
      </c>
      <c r="M236" t="s">
        <v>6</v>
      </c>
      <c r="N236" s="2">
        <v>0.77708333333333335</v>
      </c>
      <c r="O236" s="2">
        <v>0.77777777777777779</v>
      </c>
      <c r="P236" s="2">
        <v>0.79305555555555551</v>
      </c>
      <c r="Q236" s="2">
        <v>0.81041666666666667</v>
      </c>
      <c r="R236" s="2">
        <v>0.81597222222222221</v>
      </c>
      <c r="S236" s="2">
        <v>0.84791666666666665</v>
      </c>
      <c r="T236" t="s">
        <v>7</v>
      </c>
      <c r="U236" t="s">
        <v>82</v>
      </c>
      <c r="V236" t="s">
        <v>8</v>
      </c>
      <c r="X236" t="s">
        <v>33</v>
      </c>
      <c r="Y236" t="s">
        <v>259</v>
      </c>
      <c r="Z236">
        <v>2</v>
      </c>
      <c r="AA236">
        <v>4</v>
      </c>
      <c r="AB236" t="s">
        <v>11</v>
      </c>
      <c r="AC236" t="s">
        <v>12</v>
      </c>
      <c r="AD236" t="s">
        <v>107</v>
      </c>
      <c r="AE236" t="s">
        <v>14</v>
      </c>
      <c r="AF236" s="1">
        <v>33750</v>
      </c>
      <c r="AG236">
        <f t="shared" ca="1" si="11"/>
        <v>33</v>
      </c>
    </row>
    <row r="237" spans="1:33" x14ac:dyDescent="0.2">
      <c r="A237" s="1">
        <v>46042</v>
      </c>
      <c r="B237" t="str">
        <f t="shared" si="9"/>
        <v>mardi</v>
      </c>
      <c r="C237" t="str">
        <f t="shared" si="10"/>
        <v>Nuit</v>
      </c>
      <c r="D237">
        <v>1510925</v>
      </c>
      <c r="E237">
        <v>2588181</v>
      </c>
      <c r="F237" t="s">
        <v>0</v>
      </c>
      <c r="G237" t="s">
        <v>1</v>
      </c>
      <c r="H237" t="s">
        <v>99</v>
      </c>
      <c r="I237" t="s">
        <v>111</v>
      </c>
      <c r="J237" t="s">
        <v>4</v>
      </c>
      <c r="K237">
        <v>60709</v>
      </c>
      <c r="L237" t="s">
        <v>61</v>
      </c>
      <c r="M237" t="s">
        <v>195</v>
      </c>
      <c r="N237" s="2">
        <v>6.25E-2</v>
      </c>
      <c r="O237" s="2">
        <v>6.3888888888888884E-2</v>
      </c>
      <c r="P237" s="2">
        <v>7.013888888888889E-2</v>
      </c>
      <c r="Q237" s="2">
        <v>9.2361111111111116E-2</v>
      </c>
      <c r="R237" s="2">
        <v>0.10069444444444445</v>
      </c>
      <c r="S237" s="2">
        <v>0.13750000000000001</v>
      </c>
      <c r="T237" t="s">
        <v>64</v>
      </c>
      <c r="U237" t="s">
        <v>65</v>
      </c>
      <c r="V237" t="s">
        <v>8</v>
      </c>
      <c r="X237" t="s">
        <v>190</v>
      </c>
      <c r="Y237" t="s">
        <v>191</v>
      </c>
      <c r="Z237">
        <v>2</v>
      </c>
      <c r="AA237">
        <v>4</v>
      </c>
      <c r="AB237" t="s">
        <v>11</v>
      </c>
      <c r="AC237" t="s">
        <v>12</v>
      </c>
      <c r="AD237" t="s">
        <v>212</v>
      </c>
      <c r="AE237" t="s">
        <v>29</v>
      </c>
      <c r="AF237" s="1">
        <v>30960</v>
      </c>
      <c r="AG237">
        <f t="shared" ca="1" si="11"/>
        <v>41</v>
      </c>
    </row>
    <row r="238" spans="1:33" x14ac:dyDescent="0.2">
      <c r="A238" s="1">
        <v>46042</v>
      </c>
      <c r="B238" t="str">
        <f t="shared" si="9"/>
        <v>mardi</v>
      </c>
      <c r="C238" t="str">
        <f t="shared" si="10"/>
        <v>Jour</v>
      </c>
      <c r="D238">
        <v>1500175</v>
      </c>
      <c r="E238">
        <v>2604985</v>
      </c>
      <c r="F238" t="s">
        <v>21</v>
      </c>
      <c r="G238" t="s">
        <v>16</v>
      </c>
      <c r="H238" t="s">
        <v>41</v>
      </c>
      <c r="I238" t="s">
        <v>239</v>
      </c>
      <c r="J238" t="s">
        <v>256</v>
      </c>
      <c r="K238">
        <v>60704</v>
      </c>
      <c r="L238" t="s">
        <v>5</v>
      </c>
      <c r="M238" t="s">
        <v>6</v>
      </c>
      <c r="N238" s="2">
        <v>0.48333333333333334</v>
      </c>
      <c r="O238" s="2">
        <v>0.48402777777777778</v>
      </c>
      <c r="P238" s="2">
        <v>0.48402777777777778</v>
      </c>
      <c r="Q238" s="2">
        <v>0.50347222222222221</v>
      </c>
      <c r="R238" s="2">
        <v>0.51111111111111107</v>
      </c>
      <c r="S238" s="2">
        <v>0.53333333333333333</v>
      </c>
      <c r="T238" t="s">
        <v>43</v>
      </c>
      <c r="U238" t="s">
        <v>251</v>
      </c>
      <c r="V238" t="s">
        <v>8</v>
      </c>
      <c r="X238" t="s">
        <v>74</v>
      </c>
      <c r="Y238" t="s">
        <v>75</v>
      </c>
      <c r="Z238">
        <v>2</v>
      </c>
      <c r="AA238">
        <v>3</v>
      </c>
      <c r="AB238" t="s">
        <v>11</v>
      </c>
      <c r="AC238" t="s">
        <v>28</v>
      </c>
      <c r="AD238" t="s">
        <v>44</v>
      </c>
      <c r="AE238" t="s">
        <v>14</v>
      </c>
      <c r="AF238" s="1">
        <v>17364</v>
      </c>
      <c r="AG238">
        <f t="shared" ca="1" si="11"/>
        <v>78</v>
      </c>
    </row>
    <row r="239" spans="1:33" x14ac:dyDescent="0.2">
      <c r="A239" s="1">
        <v>46042</v>
      </c>
      <c r="B239" t="str">
        <f t="shared" si="9"/>
        <v>mardi</v>
      </c>
      <c r="C239" t="str">
        <f t="shared" si="10"/>
        <v>Jour</v>
      </c>
      <c r="D239">
        <v>1510930</v>
      </c>
      <c r="E239">
        <v>2605403</v>
      </c>
      <c r="F239" t="s">
        <v>15</v>
      </c>
      <c r="G239" t="s">
        <v>16</v>
      </c>
      <c r="H239" t="s">
        <v>23</v>
      </c>
      <c r="I239" t="s">
        <v>22</v>
      </c>
      <c r="J239" t="s">
        <v>4</v>
      </c>
      <c r="K239">
        <v>60709</v>
      </c>
      <c r="L239" t="s">
        <v>5</v>
      </c>
      <c r="M239" t="s">
        <v>6</v>
      </c>
      <c r="N239" s="2">
        <v>0.63611111111111107</v>
      </c>
      <c r="O239" s="2">
        <v>0.6381944444444444</v>
      </c>
      <c r="P239" s="2">
        <v>0.6430555555555556</v>
      </c>
      <c r="Q239" s="2">
        <v>0.65416666666666667</v>
      </c>
      <c r="R239" s="2">
        <v>0.67013888888888884</v>
      </c>
      <c r="S239" s="2">
        <v>0.69513888888888886</v>
      </c>
      <c r="T239" t="s">
        <v>87</v>
      </c>
      <c r="U239" t="s">
        <v>32</v>
      </c>
      <c r="V239" t="s">
        <v>8</v>
      </c>
      <c r="X239" t="s">
        <v>31</v>
      </c>
      <c r="Y239" t="s">
        <v>194</v>
      </c>
      <c r="Z239">
        <v>3</v>
      </c>
      <c r="AA239">
        <v>3</v>
      </c>
      <c r="AB239" t="s">
        <v>11</v>
      </c>
      <c r="AC239" t="s">
        <v>12</v>
      </c>
      <c r="AD239" t="s">
        <v>113</v>
      </c>
      <c r="AE239" t="s">
        <v>29</v>
      </c>
      <c r="AF239" s="1">
        <v>28786</v>
      </c>
      <c r="AG239">
        <f t="shared" ca="1" si="11"/>
        <v>47</v>
      </c>
    </row>
    <row r="240" spans="1:33" x14ac:dyDescent="0.2">
      <c r="A240" s="1">
        <v>46042</v>
      </c>
      <c r="B240" t="str">
        <f t="shared" si="9"/>
        <v>mardi</v>
      </c>
      <c r="C240" t="str">
        <f t="shared" si="10"/>
        <v>Jour</v>
      </c>
      <c r="D240">
        <v>1473376</v>
      </c>
      <c r="E240">
        <v>2562462</v>
      </c>
      <c r="F240" t="s">
        <v>25</v>
      </c>
      <c r="G240" t="s">
        <v>25</v>
      </c>
      <c r="H240" t="s">
        <v>129</v>
      </c>
      <c r="I240" t="s">
        <v>55</v>
      </c>
      <c r="J240" t="s">
        <v>4</v>
      </c>
      <c r="K240">
        <v>60705</v>
      </c>
      <c r="L240" t="s">
        <v>5</v>
      </c>
      <c r="M240" t="s">
        <v>6</v>
      </c>
      <c r="N240" s="2">
        <v>0.60763888888888884</v>
      </c>
      <c r="O240" s="2">
        <v>0.61527777777777781</v>
      </c>
      <c r="P240" s="2">
        <v>0.63541666666666663</v>
      </c>
      <c r="Q240" s="2">
        <v>0.65277777777777779</v>
      </c>
      <c r="R240" s="2">
        <v>0.67083333333333328</v>
      </c>
      <c r="S240" s="2">
        <v>0.6875</v>
      </c>
      <c r="T240" t="s">
        <v>7</v>
      </c>
      <c r="U240" t="s">
        <v>104</v>
      </c>
      <c r="V240" t="s">
        <v>8</v>
      </c>
      <c r="X240" t="s">
        <v>206</v>
      </c>
      <c r="Y240" t="s">
        <v>207</v>
      </c>
      <c r="Z240">
        <v>3</v>
      </c>
      <c r="AA240">
        <v>3</v>
      </c>
      <c r="AB240" t="s">
        <v>11</v>
      </c>
      <c r="AC240" t="s">
        <v>12</v>
      </c>
      <c r="AD240" t="s">
        <v>20</v>
      </c>
      <c r="AE240" t="s">
        <v>14</v>
      </c>
      <c r="AF240" s="1">
        <v>21180</v>
      </c>
      <c r="AG240">
        <f t="shared" ca="1" si="11"/>
        <v>68</v>
      </c>
    </row>
    <row r="241" spans="1:33" x14ac:dyDescent="0.2">
      <c r="A241" s="1">
        <v>46042</v>
      </c>
      <c r="B241" t="str">
        <f t="shared" si="9"/>
        <v>mardi</v>
      </c>
      <c r="C241" t="str">
        <f t="shared" si="10"/>
        <v>Jour</v>
      </c>
      <c r="D241">
        <v>1500174</v>
      </c>
      <c r="E241">
        <v>2588213</v>
      </c>
      <c r="F241" t="s">
        <v>21</v>
      </c>
      <c r="G241" t="s">
        <v>16</v>
      </c>
      <c r="H241" t="s">
        <v>239</v>
      </c>
      <c r="I241" t="s">
        <v>41</v>
      </c>
      <c r="J241" t="s">
        <v>256</v>
      </c>
      <c r="K241">
        <v>60704</v>
      </c>
      <c r="L241" t="s">
        <v>5</v>
      </c>
      <c r="M241" t="s">
        <v>6</v>
      </c>
      <c r="N241" s="2">
        <v>0.32847222222222222</v>
      </c>
      <c r="O241" s="2">
        <v>0.32916666666666666</v>
      </c>
      <c r="P241" s="2">
        <v>0.3347222222222222</v>
      </c>
      <c r="S241" s="2">
        <v>0.35625000000000001</v>
      </c>
      <c r="T241" t="s">
        <v>43</v>
      </c>
      <c r="U241" t="s">
        <v>251</v>
      </c>
      <c r="V241" t="s">
        <v>47</v>
      </c>
      <c r="W241" t="s">
        <v>199</v>
      </c>
      <c r="X241" t="s">
        <v>192</v>
      </c>
      <c r="Y241" t="s">
        <v>198</v>
      </c>
      <c r="Z241">
        <v>3</v>
      </c>
      <c r="AA241">
        <v>1</v>
      </c>
      <c r="AB241" t="s">
        <v>11</v>
      </c>
      <c r="AC241" t="s">
        <v>28</v>
      </c>
      <c r="AD241" t="s">
        <v>20</v>
      </c>
      <c r="AE241" t="s">
        <v>14</v>
      </c>
      <c r="AF241" s="1">
        <v>29001</v>
      </c>
      <c r="AG241">
        <f t="shared" ca="1" si="11"/>
        <v>46</v>
      </c>
    </row>
    <row r="242" spans="1:33" x14ac:dyDescent="0.2">
      <c r="A242" s="1">
        <v>46034</v>
      </c>
      <c r="B242" t="str">
        <f t="shared" si="9"/>
        <v>lundi</v>
      </c>
      <c r="C242" t="str">
        <f t="shared" si="10"/>
        <v>Jour</v>
      </c>
      <c r="D242">
        <v>1500228</v>
      </c>
      <c r="E242">
        <v>2586380</v>
      </c>
      <c r="F242" t="s">
        <v>56</v>
      </c>
      <c r="G242" t="s">
        <v>1</v>
      </c>
      <c r="H242" t="s">
        <v>55</v>
      </c>
      <c r="I242" t="s">
        <v>131</v>
      </c>
      <c r="J242" t="s">
        <v>4</v>
      </c>
      <c r="K242">
        <v>60709</v>
      </c>
      <c r="L242" t="s">
        <v>5</v>
      </c>
      <c r="M242" t="s">
        <v>6</v>
      </c>
      <c r="N242" s="2">
        <v>0.7729166666666667</v>
      </c>
      <c r="O242" s="2">
        <v>0.77361111111111114</v>
      </c>
      <c r="P242" s="2">
        <v>0.77847222222222223</v>
      </c>
      <c r="Q242" s="2">
        <v>0.79583333333333328</v>
      </c>
      <c r="R242" s="2">
        <v>0.80208333333333337</v>
      </c>
      <c r="S242" s="2">
        <v>0.82291666666666663</v>
      </c>
      <c r="T242" t="s">
        <v>7</v>
      </c>
      <c r="U242" t="s">
        <v>32</v>
      </c>
      <c r="V242" t="s">
        <v>8</v>
      </c>
      <c r="X242" t="s">
        <v>135</v>
      </c>
      <c r="Y242" t="s">
        <v>196</v>
      </c>
      <c r="Z242">
        <v>1</v>
      </c>
      <c r="AA242">
        <v>4</v>
      </c>
      <c r="AB242" t="s">
        <v>11</v>
      </c>
      <c r="AC242" t="s">
        <v>12</v>
      </c>
      <c r="AD242" t="s">
        <v>20</v>
      </c>
      <c r="AE242" t="s">
        <v>14</v>
      </c>
      <c r="AF242" s="1">
        <v>16949</v>
      </c>
      <c r="AG242">
        <f t="shared" ca="1" si="11"/>
        <v>79</v>
      </c>
    </row>
    <row r="243" spans="1:33" x14ac:dyDescent="0.2">
      <c r="A243" s="1">
        <v>46042</v>
      </c>
      <c r="B243" t="str">
        <f t="shared" si="9"/>
        <v>mardi</v>
      </c>
      <c r="C243" t="str">
        <f t="shared" si="10"/>
        <v>Jour</v>
      </c>
      <c r="D243">
        <v>1473375</v>
      </c>
      <c r="E243">
        <v>2604971</v>
      </c>
      <c r="F243" t="s">
        <v>25</v>
      </c>
      <c r="G243" t="s">
        <v>25</v>
      </c>
      <c r="H243" t="s">
        <v>55</v>
      </c>
      <c r="I243" t="s">
        <v>129</v>
      </c>
      <c r="J243" t="s">
        <v>4</v>
      </c>
      <c r="K243">
        <v>60705</v>
      </c>
      <c r="L243" t="s">
        <v>5</v>
      </c>
      <c r="M243" t="s">
        <v>6</v>
      </c>
      <c r="N243" s="2">
        <v>0.43055555555555558</v>
      </c>
      <c r="O243" s="2">
        <v>0.43472222222222223</v>
      </c>
      <c r="P243" s="2">
        <v>0.44513888888888886</v>
      </c>
      <c r="Q243" s="2">
        <v>0.45694444444444443</v>
      </c>
      <c r="R243" s="2">
        <v>0.46527777777777779</v>
      </c>
      <c r="S243" s="2">
        <v>0.47916666666666669</v>
      </c>
      <c r="T243" t="s">
        <v>7</v>
      </c>
      <c r="U243" t="s">
        <v>82</v>
      </c>
      <c r="V243" t="s">
        <v>86</v>
      </c>
      <c r="X243" t="s">
        <v>206</v>
      </c>
      <c r="Y243" t="s">
        <v>207</v>
      </c>
      <c r="Z243">
        <v>3</v>
      </c>
      <c r="AA243">
        <v>3</v>
      </c>
      <c r="AB243" t="s">
        <v>11</v>
      </c>
      <c r="AC243" t="s">
        <v>12</v>
      </c>
      <c r="AD243" t="s">
        <v>20</v>
      </c>
      <c r="AE243" t="s">
        <v>29</v>
      </c>
      <c r="AF243" s="1">
        <v>14807</v>
      </c>
      <c r="AG243">
        <f t="shared" ca="1" si="11"/>
        <v>85</v>
      </c>
    </row>
    <row r="244" spans="1:33" x14ac:dyDescent="0.2">
      <c r="A244" s="1">
        <v>46037</v>
      </c>
      <c r="B244" t="str">
        <f t="shared" si="9"/>
        <v>jeudi</v>
      </c>
      <c r="C244" t="str">
        <f t="shared" si="10"/>
        <v>Jour</v>
      </c>
      <c r="D244">
        <v>1492828</v>
      </c>
      <c r="E244">
        <v>2587174</v>
      </c>
      <c r="F244" t="s">
        <v>56</v>
      </c>
      <c r="G244" t="s">
        <v>1</v>
      </c>
      <c r="H244" t="s">
        <v>55</v>
      </c>
      <c r="I244" t="s">
        <v>78</v>
      </c>
      <c r="J244" t="s">
        <v>4</v>
      </c>
      <c r="K244">
        <v>60707</v>
      </c>
      <c r="L244" t="s">
        <v>5</v>
      </c>
      <c r="M244" t="s">
        <v>6</v>
      </c>
      <c r="N244" s="2">
        <v>0.74722222222222223</v>
      </c>
      <c r="O244" s="2">
        <v>0.75624999999999998</v>
      </c>
      <c r="P244" s="2">
        <v>0.75694444444444442</v>
      </c>
      <c r="Q244" s="2">
        <v>0.78125</v>
      </c>
      <c r="R244" s="2">
        <v>0.79513888888888884</v>
      </c>
      <c r="S244" s="2">
        <v>0.81944444444444442</v>
      </c>
      <c r="T244" t="s">
        <v>8</v>
      </c>
      <c r="U244" t="s">
        <v>32</v>
      </c>
      <c r="V244" t="s">
        <v>8</v>
      </c>
      <c r="X244" t="s">
        <v>192</v>
      </c>
      <c r="Y244" t="s">
        <v>193</v>
      </c>
      <c r="Z244">
        <v>2</v>
      </c>
      <c r="AA244">
        <v>3</v>
      </c>
      <c r="AB244" t="s">
        <v>11</v>
      </c>
      <c r="AC244" t="s">
        <v>28</v>
      </c>
      <c r="AD244" t="s">
        <v>20</v>
      </c>
      <c r="AE244" t="s">
        <v>14</v>
      </c>
      <c r="AF244" s="1">
        <v>35831</v>
      </c>
      <c r="AG244">
        <f t="shared" ca="1" si="11"/>
        <v>28</v>
      </c>
    </row>
    <row r="245" spans="1:33" x14ac:dyDescent="0.2">
      <c r="A245" s="1">
        <v>46042</v>
      </c>
      <c r="B245" t="str">
        <f t="shared" si="9"/>
        <v>mardi</v>
      </c>
      <c r="C245" t="str">
        <f t="shared" si="10"/>
        <v>Nuit</v>
      </c>
      <c r="D245">
        <v>1510927</v>
      </c>
      <c r="E245">
        <v>2588204</v>
      </c>
      <c r="F245" t="s">
        <v>15</v>
      </c>
      <c r="G245" t="s">
        <v>92</v>
      </c>
      <c r="H245" t="s">
        <v>23</v>
      </c>
      <c r="I245" t="s">
        <v>22</v>
      </c>
      <c r="J245" t="s">
        <v>4</v>
      </c>
      <c r="K245">
        <v>60709</v>
      </c>
      <c r="L245" t="s">
        <v>61</v>
      </c>
      <c r="M245" t="s">
        <v>195</v>
      </c>
      <c r="N245" s="2">
        <v>0.28541666666666665</v>
      </c>
      <c r="O245" s="2">
        <v>0.28680555555555554</v>
      </c>
      <c r="P245" s="2">
        <v>0.29097222222222224</v>
      </c>
      <c r="Q245" s="2">
        <v>0.30902777777777779</v>
      </c>
      <c r="R245" s="2">
        <v>0.31874999999999998</v>
      </c>
      <c r="S245" s="2">
        <v>0.33750000000000002</v>
      </c>
      <c r="T245" t="s">
        <v>8</v>
      </c>
      <c r="U245" t="s">
        <v>32</v>
      </c>
      <c r="V245" t="s">
        <v>8</v>
      </c>
      <c r="X245" t="s">
        <v>190</v>
      </c>
      <c r="Y245" t="s">
        <v>191</v>
      </c>
      <c r="Z245">
        <v>1</v>
      </c>
      <c r="AA245">
        <v>5</v>
      </c>
      <c r="AB245" t="s">
        <v>11</v>
      </c>
      <c r="AC245" t="s">
        <v>12</v>
      </c>
      <c r="AD245" t="s">
        <v>212</v>
      </c>
      <c r="AE245" t="s">
        <v>29</v>
      </c>
      <c r="AF245" s="1">
        <v>13243</v>
      </c>
      <c r="AG245">
        <f t="shared" ca="1" si="11"/>
        <v>89</v>
      </c>
    </row>
    <row r="246" spans="1:33" x14ac:dyDescent="0.2">
      <c r="A246" s="1">
        <v>46042</v>
      </c>
      <c r="B246" t="str">
        <f t="shared" si="9"/>
        <v>mardi</v>
      </c>
      <c r="C246" t="str">
        <f t="shared" si="10"/>
        <v>Nuit</v>
      </c>
      <c r="D246">
        <v>1500173</v>
      </c>
      <c r="E246">
        <v>2588192</v>
      </c>
      <c r="F246" t="s">
        <v>45</v>
      </c>
      <c r="G246" t="s">
        <v>1</v>
      </c>
      <c r="H246" t="s">
        <v>3</v>
      </c>
      <c r="I246" t="s">
        <v>67</v>
      </c>
      <c r="J246" t="s">
        <v>4</v>
      </c>
      <c r="K246">
        <v>60704</v>
      </c>
      <c r="L246" t="s">
        <v>5</v>
      </c>
      <c r="M246" t="s">
        <v>6</v>
      </c>
      <c r="N246" s="2">
        <v>0.12847222222222221</v>
      </c>
      <c r="O246" s="2">
        <v>0.13055555555555556</v>
      </c>
      <c r="P246" s="2">
        <v>0.13333333333333333</v>
      </c>
      <c r="Q246" s="2">
        <v>0.14444444444444443</v>
      </c>
      <c r="R246" s="2">
        <v>0.14861111111111111</v>
      </c>
      <c r="S246" s="2">
        <v>0.16319444444444445</v>
      </c>
      <c r="T246" t="s">
        <v>7</v>
      </c>
      <c r="U246" t="s">
        <v>251</v>
      </c>
      <c r="V246" t="s">
        <v>8</v>
      </c>
      <c r="X246" t="s">
        <v>33</v>
      </c>
      <c r="Y246" t="s">
        <v>133</v>
      </c>
      <c r="Z246">
        <v>3</v>
      </c>
      <c r="AA246">
        <v>2</v>
      </c>
      <c r="AB246" t="s">
        <v>11</v>
      </c>
      <c r="AC246" t="s">
        <v>12</v>
      </c>
      <c r="AD246" t="s">
        <v>20</v>
      </c>
      <c r="AE246" t="s">
        <v>29</v>
      </c>
      <c r="AF246" s="1">
        <v>26957</v>
      </c>
      <c r="AG246">
        <f t="shared" ca="1" si="11"/>
        <v>52</v>
      </c>
    </row>
    <row r="247" spans="1:33" x14ac:dyDescent="0.2">
      <c r="A247" s="1">
        <v>46041</v>
      </c>
      <c r="B247" t="str">
        <f t="shared" si="9"/>
        <v>lundi</v>
      </c>
      <c r="C247" t="str">
        <f t="shared" si="10"/>
        <v>Nuit</v>
      </c>
      <c r="D247">
        <v>1500172</v>
      </c>
      <c r="E247">
        <v>2588166</v>
      </c>
      <c r="F247" t="s">
        <v>45</v>
      </c>
      <c r="G247" t="s">
        <v>16</v>
      </c>
      <c r="H247" t="s">
        <v>67</v>
      </c>
      <c r="I247" t="s">
        <v>3</v>
      </c>
      <c r="J247" t="s">
        <v>4</v>
      </c>
      <c r="K247">
        <v>60704</v>
      </c>
      <c r="L247" t="s">
        <v>5</v>
      </c>
      <c r="M247" t="s">
        <v>6</v>
      </c>
      <c r="N247" s="2">
        <v>0.98888888888888893</v>
      </c>
      <c r="O247" s="2">
        <v>0.99097222222222225</v>
      </c>
      <c r="P247" s="2">
        <v>0.99236111111111114</v>
      </c>
      <c r="Q247" s="2">
        <v>1.3194444444444444E-2</v>
      </c>
      <c r="R247" s="2">
        <v>1.8749999999999999E-2</v>
      </c>
      <c r="S247" s="2">
        <v>4.1666666666666664E-2</v>
      </c>
      <c r="T247" t="s">
        <v>7</v>
      </c>
      <c r="U247" t="s">
        <v>251</v>
      </c>
      <c r="V247" t="s">
        <v>8</v>
      </c>
      <c r="X247" t="s">
        <v>66</v>
      </c>
      <c r="Y247" t="s">
        <v>85</v>
      </c>
      <c r="Z247">
        <v>3</v>
      </c>
      <c r="AA247">
        <v>2</v>
      </c>
      <c r="AB247" t="s">
        <v>11</v>
      </c>
      <c r="AC247" t="s">
        <v>12</v>
      </c>
      <c r="AD247" t="s">
        <v>113</v>
      </c>
      <c r="AE247" t="s">
        <v>14</v>
      </c>
      <c r="AF247" s="1">
        <v>35352</v>
      </c>
      <c r="AG247">
        <f t="shared" ca="1" si="11"/>
        <v>29</v>
      </c>
    </row>
    <row r="248" spans="1:33" x14ac:dyDescent="0.2">
      <c r="A248" s="1">
        <v>46037</v>
      </c>
      <c r="B248" t="str">
        <f t="shared" si="9"/>
        <v>jeudi</v>
      </c>
      <c r="C248" t="str">
        <f t="shared" si="10"/>
        <v>Nuit</v>
      </c>
      <c r="D248">
        <v>1500249</v>
      </c>
      <c r="E248">
        <v>2587240</v>
      </c>
      <c r="F248" t="s">
        <v>15</v>
      </c>
      <c r="G248" t="s">
        <v>16</v>
      </c>
      <c r="H248" t="s">
        <v>57</v>
      </c>
      <c r="I248" t="s">
        <v>42</v>
      </c>
      <c r="J248" t="s">
        <v>4</v>
      </c>
      <c r="K248">
        <v>60709</v>
      </c>
      <c r="L248" t="s">
        <v>5</v>
      </c>
      <c r="M248" t="s">
        <v>6</v>
      </c>
      <c r="N248" s="2">
        <v>0.88749999999999996</v>
      </c>
      <c r="O248" s="2">
        <v>0.88888888888888884</v>
      </c>
      <c r="P248" s="2">
        <v>0.8930555555555556</v>
      </c>
      <c r="Q248" s="2">
        <v>0.90486111111111112</v>
      </c>
      <c r="R248" s="2">
        <v>0.91666666666666663</v>
      </c>
      <c r="S248" s="2">
        <v>0.93055555555555558</v>
      </c>
      <c r="T248" t="s">
        <v>7</v>
      </c>
      <c r="U248" t="s">
        <v>32</v>
      </c>
      <c r="V248" t="s">
        <v>8</v>
      </c>
      <c r="X248" t="s">
        <v>19</v>
      </c>
      <c r="Y248" t="s">
        <v>211</v>
      </c>
      <c r="Z248">
        <v>3</v>
      </c>
      <c r="AA248">
        <v>3</v>
      </c>
      <c r="AB248" t="s">
        <v>11</v>
      </c>
      <c r="AC248" t="s">
        <v>12</v>
      </c>
      <c r="AD248" t="s">
        <v>20</v>
      </c>
      <c r="AE248" t="s">
        <v>14</v>
      </c>
      <c r="AF248" s="1">
        <v>37508</v>
      </c>
      <c r="AG248">
        <f t="shared" ca="1" si="11"/>
        <v>23</v>
      </c>
    </row>
    <row r="249" spans="1:33" x14ac:dyDescent="0.2">
      <c r="A249" s="1">
        <v>46041</v>
      </c>
      <c r="B249" t="str">
        <f t="shared" si="9"/>
        <v>lundi</v>
      </c>
      <c r="C249" t="str">
        <f t="shared" si="10"/>
        <v>Jour</v>
      </c>
      <c r="D249">
        <v>1510923</v>
      </c>
      <c r="E249">
        <v>2588129</v>
      </c>
      <c r="F249" t="s">
        <v>0</v>
      </c>
      <c r="G249" t="s">
        <v>16</v>
      </c>
      <c r="H249" t="s">
        <v>99</v>
      </c>
      <c r="I249" t="s">
        <v>111</v>
      </c>
      <c r="J249" t="s">
        <v>4</v>
      </c>
      <c r="K249">
        <v>60709</v>
      </c>
      <c r="L249" t="s">
        <v>5</v>
      </c>
      <c r="M249" t="s">
        <v>6</v>
      </c>
      <c r="N249" s="2">
        <v>0.82291666666666663</v>
      </c>
      <c r="O249" s="2">
        <v>0.82499999999999996</v>
      </c>
      <c r="P249" s="2">
        <v>0.83194444444444449</v>
      </c>
      <c r="Q249" s="2">
        <v>0.87013888888888891</v>
      </c>
      <c r="R249" s="2">
        <v>0.87986111111111109</v>
      </c>
      <c r="S249" s="2">
        <v>0.89513888888888893</v>
      </c>
      <c r="T249" t="s">
        <v>38</v>
      </c>
      <c r="U249" t="s">
        <v>265</v>
      </c>
      <c r="V249" t="s">
        <v>8</v>
      </c>
      <c r="X249" t="s">
        <v>110</v>
      </c>
      <c r="Y249" t="s">
        <v>223</v>
      </c>
      <c r="Z249">
        <v>3</v>
      </c>
      <c r="AA249">
        <v>3</v>
      </c>
      <c r="AB249" t="s">
        <v>11</v>
      </c>
      <c r="AC249" t="s">
        <v>28</v>
      </c>
      <c r="AD249" t="s">
        <v>260</v>
      </c>
      <c r="AE249" t="s">
        <v>14</v>
      </c>
      <c r="AF249" s="1">
        <v>14240</v>
      </c>
      <c r="AG249">
        <f t="shared" ca="1" si="11"/>
        <v>87</v>
      </c>
    </row>
    <row r="250" spans="1:33" x14ac:dyDescent="0.2">
      <c r="A250" s="1">
        <v>46041</v>
      </c>
      <c r="B250" t="str">
        <f t="shared" si="9"/>
        <v>lundi</v>
      </c>
      <c r="C250" t="str">
        <f t="shared" si="10"/>
        <v>Nuit</v>
      </c>
      <c r="D250">
        <v>1510924</v>
      </c>
      <c r="E250">
        <v>2588153</v>
      </c>
      <c r="F250" t="s">
        <v>0</v>
      </c>
      <c r="G250" t="s">
        <v>1</v>
      </c>
      <c r="H250" t="s">
        <v>111</v>
      </c>
      <c r="I250" t="s">
        <v>99</v>
      </c>
      <c r="J250" t="s">
        <v>4</v>
      </c>
      <c r="K250">
        <v>60709</v>
      </c>
      <c r="L250" t="s">
        <v>61</v>
      </c>
      <c r="M250" t="s">
        <v>195</v>
      </c>
      <c r="N250" s="2">
        <v>0.92083333333333328</v>
      </c>
      <c r="O250" s="2">
        <v>0.92083333333333328</v>
      </c>
      <c r="P250" s="2">
        <v>0.92291666666666672</v>
      </c>
      <c r="Q250" s="2">
        <v>0.95694444444444449</v>
      </c>
      <c r="R250" s="2">
        <v>0.96250000000000002</v>
      </c>
      <c r="S250" s="2">
        <v>0.98611111111111116</v>
      </c>
      <c r="T250" t="s">
        <v>7</v>
      </c>
      <c r="U250" t="s">
        <v>263</v>
      </c>
      <c r="V250" t="s">
        <v>8</v>
      </c>
      <c r="X250" t="s">
        <v>9</v>
      </c>
      <c r="Y250" t="s">
        <v>10</v>
      </c>
      <c r="Z250">
        <v>2</v>
      </c>
      <c r="AA250">
        <v>3</v>
      </c>
      <c r="AB250" t="s">
        <v>11</v>
      </c>
      <c r="AC250" t="s">
        <v>12</v>
      </c>
      <c r="AD250" t="s">
        <v>13</v>
      </c>
      <c r="AE250" t="s">
        <v>14</v>
      </c>
      <c r="AF250" s="1">
        <v>29093</v>
      </c>
      <c r="AG250">
        <f t="shared" ca="1" si="11"/>
        <v>46</v>
      </c>
    </row>
    <row r="251" spans="1:33" x14ac:dyDescent="0.2">
      <c r="A251" s="1">
        <v>46041</v>
      </c>
      <c r="B251" t="str">
        <f t="shared" si="9"/>
        <v>lundi</v>
      </c>
      <c r="C251" t="str">
        <f t="shared" si="10"/>
        <v>Nuit</v>
      </c>
      <c r="D251">
        <v>1510916</v>
      </c>
      <c r="E251">
        <v>2587893</v>
      </c>
      <c r="F251" t="s">
        <v>0</v>
      </c>
      <c r="G251" t="s">
        <v>16</v>
      </c>
      <c r="H251" t="s">
        <v>3</v>
      </c>
      <c r="I251" t="s">
        <v>2</v>
      </c>
      <c r="J251" t="s">
        <v>4</v>
      </c>
      <c r="K251">
        <v>60709</v>
      </c>
      <c r="L251" t="s">
        <v>5</v>
      </c>
      <c r="M251" t="s">
        <v>6</v>
      </c>
      <c r="N251" s="2">
        <v>6.3888888888888884E-2</v>
      </c>
      <c r="O251" s="2">
        <v>6.5972222222222224E-2</v>
      </c>
      <c r="P251" s="2">
        <v>6.805555555555555E-2</v>
      </c>
      <c r="Q251" s="2">
        <v>7.4999999999999997E-2</v>
      </c>
      <c r="R251" s="2">
        <v>8.3333333333333329E-2</v>
      </c>
      <c r="S251" s="2">
        <v>0.10069444444444445</v>
      </c>
      <c r="T251" t="s">
        <v>7</v>
      </c>
      <c r="U251" t="s">
        <v>32</v>
      </c>
      <c r="V251" t="s">
        <v>8</v>
      </c>
      <c r="X251" t="s">
        <v>33</v>
      </c>
      <c r="Y251" t="s">
        <v>136</v>
      </c>
      <c r="Z251">
        <v>2</v>
      </c>
      <c r="AA251">
        <v>4</v>
      </c>
      <c r="AB251" t="s">
        <v>11</v>
      </c>
      <c r="AC251" t="s">
        <v>28</v>
      </c>
      <c r="AD251" t="s">
        <v>20</v>
      </c>
      <c r="AE251" t="s">
        <v>14</v>
      </c>
      <c r="AF251" s="1">
        <v>34368</v>
      </c>
      <c r="AG251">
        <f t="shared" ca="1" si="11"/>
        <v>32</v>
      </c>
    </row>
    <row r="252" spans="1:33" x14ac:dyDescent="0.2">
      <c r="A252" s="1">
        <v>46040</v>
      </c>
      <c r="B252" t="str">
        <f t="shared" si="9"/>
        <v>dimanche</v>
      </c>
      <c r="C252" t="str">
        <f t="shared" si="10"/>
        <v>Jour</v>
      </c>
      <c r="D252">
        <v>1510914</v>
      </c>
      <c r="E252">
        <v>2587889</v>
      </c>
      <c r="F252" t="s">
        <v>0</v>
      </c>
      <c r="G252" t="s">
        <v>16</v>
      </c>
      <c r="H252" t="s">
        <v>3</v>
      </c>
      <c r="I252" t="s">
        <v>2</v>
      </c>
      <c r="J252" t="s">
        <v>4</v>
      </c>
      <c r="K252">
        <v>60709</v>
      </c>
      <c r="L252" t="s">
        <v>5</v>
      </c>
      <c r="M252" t="s">
        <v>6</v>
      </c>
      <c r="N252" s="2">
        <v>0.80138888888888893</v>
      </c>
      <c r="O252" s="2">
        <v>0.8041666666666667</v>
      </c>
      <c r="P252" s="2">
        <v>0.80902777777777779</v>
      </c>
      <c r="S252" s="2">
        <v>0.82430555555555551</v>
      </c>
      <c r="T252" t="s">
        <v>7</v>
      </c>
      <c r="U252" t="s">
        <v>32</v>
      </c>
      <c r="V252" t="s">
        <v>47</v>
      </c>
      <c r="W252" t="s">
        <v>83</v>
      </c>
      <c r="X252" t="s">
        <v>33</v>
      </c>
      <c r="Y252" t="s">
        <v>201</v>
      </c>
      <c r="Z252">
        <v>4</v>
      </c>
      <c r="AA252">
        <v>0</v>
      </c>
      <c r="AB252" t="s">
        <v>11</v>
      </c>
      <c r="AC252" t="s">
        <v>12</v>
      </c>
      <c r="AD252" t="s">
        <v>20</v>
      </c>
      <c r="AE252" t="s">
        <v>29</v>
      </c>
      <c r="AG252">
        <f t="shared" ca="1" si="11"/>
        <v>126</v>
      </c>
    </row>
    <row r="253" spans="1:33" x14ac:dyDescent="0.2">
      <c r="A253" s="1">
        <v>46041</v>
      </c>
      <c r="B253" t="str">
        <f t="shared" si="9"/>
        <v>lundi</v>
      </c>
      <c r="C253" t="str">
        <f t="shared" si="10"/>
        <v>Jour</v>
      </c>
      <c r="D253">
        <v>1510922</v>
      </c>
      <c r="E253">
        <v>2588074</v>
      </c>
      <c r="F253" t="s">
        <v>15</v>
      </c>
      <c r="G253" t="s">
        <v>16</v>
      </c>
      <c r="H253" t="s">
        <v>26</v>
      </c>
      <c r="I253" t="s">
        <v>202</v>
      </c>
      <c r="J253" t="s">
        <v>4</v>
      </c>
      <c r="K253">
        <v>60709</v>
      </c>
      <c r="L253" t="s">
        <v>5</v>
      </c>
      <c r="M253" t="s">
        <v>6</v>
      </c>
      <c r="N253" s="2">
        <v>0.63124999999999998</v>
      </c>
      <c r="O253" s="2">
        <v>0.63263888888888886</v>
      </c>
      <c r="P253" s="2">
        <v>0.63888888888888884</v>
      </c>
      <c r="Q253" s="2">
        <v>0.67291666666666672</v>
      </c>
      <c r="R253" s="2">
        <v>0.6791666666666667</v>
      </c>
      <c r="S253" s="2">
        <v>0.70138888888888884</v>
      </c>
      <c r="T253" t="s">
        <v>7</v>
      </c>
      <c r="U253" t="s">
        <v>265</v>
      </c>
      <c r="V253" t="s">
        <v>8</v>
      </c>
      <c r="X253" t="s">
        <v>9</v>
      </c>
      <c r="Y253" t="s">
        <v>10</v>
      </c>
      <c r="Z253">
        <v>2</v>
      </c>
      <c r="AA253">
        <v>3</v>
      </c>
      <c r="AB253" t="s">
        <v>11</v>
      </c>
      <c r="AC253" t="s">
        <v>12</v>
      </c>
      <c r="AD253" t="s">
        <v>20</v>
      </c>
      <c r="AE253" t="s">
        <v>14</v>
      </c>
      <c r="AF253" s="1">
        <v>13610</v>
      </c>
      <c r="AG253">
        <f t="shared" ca="1" si="11"/>
        <v>88</v>
      </c>
    </row>
    <row r="254" spans="1:33" x14ac:dyDescent="0.2">
      <c r="A254" s="1">
        <v>46041</v>
      </c>
      <c r="B254" t="str">
        <f t="shared" si="9"/>
        <v>lundi</v>
      </c>
      <c r="C254" t="str">
        <f t="shared" si="10"/>
        <v>Jour</v>
      </c>
      <c r="D254">
        <v>1500170</v>
      </c>
      <c r="E254">
        <v>2588073</v>
      </c>
      <c r="F254" t="s">
        <v>21</v>
      </c>
      <c r="G254" t="s">
        <v>1</v>
      </c>
      <c r="H254" t="s">
        <v>103</v>
      </c>
      <c r="I254" t="s">
        <v>213</v>
      </c>
      <c r="J254" t="s">
        <v>256</v>
      </c>
      <c r="K254">
        <v>60704</v>
      </c>
      <c r="L254" t="s">
        <v>5</v>
      </c>
      <c r="M254" t="s">
        <v>6</v>
      </c>
      <c r="N254" s="2">
        <v>0.63263888888888886</v>
      </c>
      <c r="O254" s="2">
        <v>0.63472222222222219</v>
      </c>
      <c r="P254" s="2">
        <v>0.63680555555555551</v>
      </c>
      <c r="Q254" s="2">
        <v>0.65972222222222221</v>
      </c>
      <c r="R254" s="2">
        <v>0.66874999999999996</v>
      </c>
      <c r="S254" s="2">
        <v>0.69305555555555554</v>
      </c>
      <c r="T254" t="s">
        <v>7</v>
      </c>
      <c r="U254" t="s">
        <v>251</v>
      </c>
      <c r="V254" t="s">
        <v>8</v>
      </c>
      <c r="X254" t="s">
        <v>190</v>
      </c>
      <c r="Y254" t="s">
        <v>191</v>
      </c>
      <c r="Z254">
        <v>1</v>
      </c>
      <c r="AA254">
        <v>3</v>
      </c>
      <c r="AB254" t="s">
        <v>11</v>
      </c>
      <c r="AC254" t="s">
        <v>12</v>
      </c>
      <c r="AD254" t="s">
        <v>20</v>
      </c>
      <c r="AE254" t="s">
        <v>29</v>
      </c>
      <c r="AF254" s="1">
        <v>16185</v>
      </c>
      <c r="AG254">
        <f t="shared" ca="1" si="11"/>
        <v>81</v>
      </c>
    </row>
    <row r="255" spans="1:33" x14ac:dyDescent="0.2">
      <c r="A255" s="1">
        <v>46041</v>
      </c>
      <c r="B255" t="str">
        <f t="shared" si="9"/>
        <v>lundi</v>
      </c>
      <c r="C255" t="str">
        <f t="shared" si="10"/>
        <v>Jour</v>
      </c>
      <c r="D255">
        <v>1500493</v>
      </c>
      <c r="E255">
        <v>2588065</v>
      </c>
      <c r="F255" t="s">
        <v>25</v>
      </c>
      <c r="G255" t="s">
        <v>25</v>
      </c>
      <c r="H255" t="s">
        <v>68</v>
      </c>
      <c r="I255" t="s">
        <v>234</v>
      </c>
      <c r="J255" t="s">
        <v>4</v>
      </c>
      <c r="K255">
        <v>60706</v>
      </c>
      <c r="L255" t="s">
        <v>5</v>
      </c>
      <c r="M255" t="s">
        <v>6</v>
      </c>
      <c r="N255" s="2">
        <v>0.58888888888888891</v>
      </c>
      <c r="O255" s="2">
        <v>0.62430555555555556</v>
      </c>
      <c r="P255" s="2">
        <v>0.62916666666666665</v>
      </c>
      <c r="Q255" s="2">
        <v>0.64513888888888893</v>
      </c>
      <c r="R255" s="2">
        <v>0.65416666666666667</v>
      </c>
      <c r="S255" s="2">
        <v>0.66666666666666663</v>
      </c>
      <c r="T255" t="s">
        <v>7</v>
      </c>
      <c r="U255" t="s">
        <v>32</v>
      </c>
      <c r="V255" t="s">
        <v>8</v>
      </c>
      <c r="X255" t="s">
        <v>206</v>
      </c>
      <c r="Y255" t="s">
        <v>207</v>
      </c>
      <c r="Z255">
        <v>3</v>
      </c>
      <c r="AA255">
        <v>3</v>
      </c>
      <c r="AB255" t="s">
        <v>11</v>
      </c>
      <c r="AC255" t="s">
        <v>12</v>
      </c>
      <c r="AD255" t="s">
        <v>20</v>
      </c>
      <c r="AE255" t="s">
        <v>29</v>
      </c>
      <c r="AF255" s="1">
        <v>12595</v>
      </c>
      <c r="AG255">
        <f t="shared" ca="1" si="11"/>
        <v>91</v>
      </c>
    </row>
    <row r="256" spans="1:33" x14ac:dyDescent="0.2">
      <c r="A256" s="1">
        <v>46041</v>
      </c>
      <c r="B256" t="str">
        <f t="shared" si="9"/>
        <v>lundi</v>
      </c>
      <c r="C256" t="str">
        <f t="shared" si="10"/>
        <v>Jour</v>
      </c>
      <c r="D256">
        <v>1500154</v>
      </c>
      <c r="E256">
        <v>2586937</v>
      </c>
      <c r="F256" t="s">
        <v>56</v>
      </c>
      <c r="G256" t="s">
        <v>1</v>
      </c>
      <c r="H256" t="s">
        <v>69</v>
      </c>
      <c r="I256" t="s">
        <v>69</v>
      </c>
      <c r="J256" t="s">
        <v>4</v>
      </c>
      <c r="K256">
        <v>60704</v>
      </c>
      <c r="L256" t="s">
        <v>5</v>
      </c>
      <c r="M256" t="s">
        <v>6</v>
      </c>
      <c r="N256" s="2">
        <v>0.7319444444444444</v>
      </c>
      <c r="O256" s="2">
        <v>0.73611111111111116</v>
      </c>
      <c r="P256" s="2">
        <v>0.73888888888888893</v>
      </c>
      <c r="Q256" s="2">
        <v>0.7583333333333333</v>
      </c>
      <c r="R256" s="2">
        <v>0.77152777777777781</v>
      </c>
      <c r="S256" s="2">
        <v>0.78472222222222221</v>
      </c>
      <c r="T256" t="s">
        <v>7</v>
      </c>
      <c r="U256" t="s">
        <v>263</v>
      </c>
      <c r="V256" t="s">
        <v>8</v>
      </c>
      <c r="X256" t="s">
        <v>190</v>
      </c>
      <c r="Y256" t="s">
        <v>191</v>
      </c>
      <c r="Z256">
        <v>3</v>
      </c>
      <c r="AA256">
        <v>2</v>
      </c>
      <c r="AB256" t="s">
        <v>11</v>
      </c>
      <c r="AC256" t="s">
        <v>12</v>
      </c>
      <c r="AD256" t="s">
        <v>219</v>
      </c>
      <c r="AE256" t="s">
        <v>29</v>
      </c>
      <c r="AF256" s="1">
        <v>41664</v>
      </c>
      <c r="AG256">
        <f t="shared" ca="1" si="11"/>
        <v>12</v>
      </c>
    </row>
    <row r="257" spans="1:33" x14ac:dyDescent="0.2">
      <c r="A257" s="1">
        <v>46041</v>
      </c>
      <c r="B257" t="str">
        <f t="shared" si="9"/>
        <v>lundi</v>
      </c>
      <c r="C257" t="str">
        <f t="shared" si="10"/>
        <v>Jour</v>
      </c>
      <c r="D257">
        <v>1510918</v>
      </c>
      <c r="E257">
        <v>2587975</v>
      </c>
      <c r="F257" t="s">
        <v>15</v>
      </c>
      <c r="G257" t="s">
        <v>1</v>
      </c>
      <c r="H257" t="s">
        <v>202</v>
      </c>
      <c r="I257" t="s">
        <v>26</v>
      </c>
      <c r="J257" t="s">
        <v>4</v>
      </c>
      <c r="K257">
        <v>60709</v>
      </c>
      <c r="L257" t="s">
        <v>61</v>
      </c>
      <c r="M257" t="s">
        <v>253</v>
      </c>
      <c r="N257" s="2">
        <v>0.34097222222222223</v>
      </c>
      <c r="O257" s="2">
        <v>0.34236111111111112</v>
      </c>
      <c r="P257" s="2">
        <v>0.34583333333333333</v>
      </c>
      <c r="Q257" s="2">
        <v>0.37638888888888888</v>
      </c>
      <c r="R257" s="2">
        <v>0.38124999999999998</v>
      </c>
      <c r="S257" s="2">
        <v>0.39930555555555558</v>
      </c>
      <c r="T257" t="s">
        <v>7</v>
      </c>
      <c r="U257" t="s">
        <v>32</v>
      </c>
      <c r="V257" t="s">
        <v>24</v>
      </c>
      <c r="X257" t="s">
        <v>58</v>
      </c>
      <c r="Y257" t="s">
        <v>59</v>
      </c>
      <c r="Z257">
        <v>1</v>
      </c>
      <c r="AA257">
        <v>4</v>
      </c>
      <c r="AB257" t="s">
        <v>11</v>
      </c>
      <c r="AC257" t="s">
        <v>12</v>
      </c>
      <c r="AD257" t="s">
        <v>62</v>
      </c>
      <c r="AE257" t="s">
        <v>29</v>
      </c>
      <c r="AF257" s="1">
        <v>21697</v>
      </c>
      <c r="AG257">
        <f t="shared" ca="1" si="11"/>
        <v>66</v>
      </c>
    </row>
    <row r="258" spans="1:33" x14ac:dyDescent="0.2">
      <c r="A258" s="1">
        <v>46041</v>
      </c>
      <c r="B258" t="str">
        <f t="shared" ref="B258:B321" si="12">TEXT(A258,"JJJJ")</f>
        <v>lundi</v>
      </c>
      <c r="C258" t="str">
        <f t="shared" ref="C258:C321" si="13">IF(AND(HOUR(N258)&gt;=7,HOUR(N258)&lt;=19),"Jour","Nuit")</f>
        <v>Jour</v>
      </c>
      <c r="D258">
        <v>1510920</v>
      </c>
      <c r="E258">
        <v>2587990</v>
      </c>
      <c r="F258" t="s">
        <v>15</v>
      </c>
      <c r="G258" t="s">
        <v>16</v>
      </c>
      <c r="H258" t="s">
        <v>26</v>
      </c>
      <c r="I258" t="s">
        <v>202</v>
      </c>
      <c r="J258" t="s">
        <v>4</v>
      </c>
      <c r="K258">
        <v>60709</v>
      </c>
      <c r="L258" t="s">
        <v>5</v>
      </c>
      <c r="M258" t="s">
        <v>6</v>
      </c>
      <c r="N258" s="2">
        <v>0.41041666666666665</v>
      </c>
      <c r="O258" s="2">
        <v>0.41111111111111109</v>
      </c>
      <c r="P258" s="2">
        <v>0.41805555555555557</v>
      </c>
      <c r="Q258" s="2">
        <v>0.44166666666666665</v>
      </c>
      <c r="R258" s="2">
        <v>0.44930555555555557</v>
      </c>
      <c r="S258" s="2">
        <v>0.47916666666666669</v>
      </c>
      <c r="T258" t="s">
        <v>38</v>
      </c>
      <c r="U258" t="s">
        <v>265</v>
      </c>
      <c r="V258" t="s">
        <v>8</v>
      </c>
      <c r="X258" t="s">
        <v>74</v>
      </c>
      <c r="Y258" t="s">
        <v>75</v>
      </c>
      <c r="Z258">
        <v>3</v>
      </c>
      <c r="AA258">
        <v>3</v>
      </c>
      <c r="AB258" t="s">
        <v>11</v>
      </c>
      <c r="AC258" t="s">
        <v>28</v>
      </c>
      <c r="AD258" t="s">
        <v>44</v>
      </c>
      <c r="AE258" t="s">
        <v>14</v>
      </c>
      <c r="AF258" s="1">
        <v>10237</v>
      </c>
      <c r="AG258">
        <f t="shared" ref="AG258:AG321" ca="1" si="14">INT((TODAY()-AF258)/365.25)</f>
        <v>98</v>
      </c>
    </row>
    <row r="259" spans="1:33" x14ac:dyDescent="0.2">
      <c r="A259" s="1">
        <v>46041</v>
      </c>
      <c r="B259" t="str">
        <f t="shared" si="12"/>
        <v>lundi</v>
      </c>
      <c r="C259" t="str">
        <f t="shared" si="13"/>
        <v>Jour</v>
      </c>
      <c r="D259">
        <v>1510921</v>
      </c>
      <c r="E259">
        <v>2588036</v>
      </c>
      <c r="F259" t="s">
        <v>15</v>
      </c>
      <c r="G259" t="s">
        <v>16</v>
      </c>
      <c r="H259" t="s">
        <v>202</v>
      </c>
      <c r="I259" t="s">
        <v>26</v>
      </c>
      <c r="J259" t="s">
        <v>4</v>
      </c>
      <c r="K259">
        <v>60709</v>
      </c>
      <c r="L259" t="s">
        <v>5</v>
      </c>
      <c r="M259" t="s">
        <v>6</v>
      </c>
      <c r="N259" s="2">
        <v>0.53125</v>
      </c>
      <c r="O259" s="2">
        <v>0.53263888888888888</v>
      </c>
      <c r="P259" s="2">
        <v>0.53819444444444442</v>
      </c>
      <c r="Q259" s="2">
        <v>0.55833333333333335</v>
      </c>
      <c r="R259" s="2">
        <v>0.56597222222222221</v>
      </c>
      <c r="S259" s="2">
        <v>0.59027777777777779</v>
      </c>
      <c r="T259" t="s">
        <v>52</v>
      </c>
      <c r="U259" t="s">
        <v>265</v>
      </c>
      <c r="V259" t="s">
        <v>8</v>
      </c>
      <c r="X259" t="s">
        <v>252</v>
      </c>
      <c r="Y259" t="s">
        <v>48</v>
      </c>
      <c r="Z259">
        <v>3</v>
      </c>
      <c r="AA259">
        <v>2</v>
      </c>
      <c r="AB259" t="s">
        <v>11</v>
      </c>
      <c r="AC259" t="s">
        <v>12</v>
      </c>
      <c r="AD259" t="s">
        <v>20</v>
      </c>
      <c r="AE259" t="s">
        <v>14</v>
      </c>
      <c r="AF259" s="1">
        <v>18764</v>
      </c>
      <c r="AG259">
        <f t="shared" ca="1" si="14"/>
        <v>74</v>
      </c>
    </row>
    <row r="260" spans="1:33" x14ac:dyDescent="0.2">
      <c r="A260" s="1">
        <v>46041</v>
      </c>
      <c r="B260" t="str">
        <f t="shared" si="12"/>
        <v>lundi</v>
      </c>
      <c r="C260" t="str">
        <f t="shared" si="13"/>
        <v>Jour</v>
      </c>
      <c r="D260">
        <v>1500492</v>
      </c>
      <c r="E260">
        <v>2588011</v>
      </c>
      <c r="F260" t="s">
        <v>25</v>
      </c>
      <c r="G260" t="s">
        <v>25</v>
      </c>
      <c r="H260" t="s">
        <v>234</v>
      </c>
      <c r="I260" t="s">
        <v>68</v>
      </c>
      <c r="J260" t="s">
        <v>4</v>
      </c>
      <c r="K260">
        <v>60706</v>
      </c>
      <c r="L260" t="s">
        <v>5</v>
      </c>
      <c r="M260" t="s">
        <v>6</v>
      </c>
      <c r="N260" s="2">
        <v>0.46111111111111114</v>
      </c>
      <c r="O260" s="2">
        <v>0.46666666666666667</v>
      </c>
      <c r="P260" s="2">
        <v>0.47569444444444442</v>
      </c>
      <c r="Q260" s="2">
        <v>0.49305555555555558</v>
      </c>
      <c r="R260" s="2">
        <v>0.50763888888888886</v>
      </c>
      <c r="S260" s="2">
        <v>0.52430555555555558</v>
      </c>
      <c r="T260" t="s">
        <v>38</v>
      </c>
      <c r="U260" t="s">
        <v>82</v>
      </c>
      <c r="V260" t="s">
        <v>8</v>
      </c>
      <c r="X260" t="s">
        <v>33</v>
      </c>
      <c r="Y260" t="s">
        <v>208</v>
      </c>
      <c r="Z260">
        <v>3</v>
      </c>
      <c r="AA260">
        <v>3</v>
      </c>
      <c r="AB260" t="s">
        <v>11</v>
      </c>
      <c r="AC260" t="s">
        <v>28</v>
      </c>
      <c r="AD260" t="s">
        <v>20</v>
      </c>
      <c r="AE260" t="s">
        <v>29</v>
      </c>
      <c r="AF260" s="1">
        <v>17630</v>
      </c>
      <c r="AG260">
        <f t="shared" ca="1" si="14"/>
        <v>77</v>
      </c>
    </row>
    <row r="261" spans="1:33" x14ac:dyDescent="0.2">
      <c r="A261" s="1">
        <v>46041</v>
      </c>
      <c r="B261" t="str">
        <f t="shared" si="12"/>
        <v>lundi</v>
      </c>
      <c r="C261" t="str">
        <f t="shared" si="13"/>
        <v>Jour</v>
      </c>
      <c r="D261">
        <v>1500168</v>
      </c>
      <c r="E261">
        <v>2587979</v>
      </c>
      <c r="F261" t="s">
        <v>21</v>
      </c>
      <c r="G261" t="s">
        <v>16</v>
      </c>
      <c r="H261" t="s">
        <v>103</v>
      </c>
      <c r="I261" t="s">
        <v>213</v>
      </c>
      <c r="J261" t="s">
        <v>256</v>
      </c>
      <c r="K261">
        <v>60704</v>
      </c>
      <c r="L261" t="s">
        <v>5</v>
      </c>
      <c r="M261" t="s">
        <v>6</v>
      </c>
      <c r="N261" s="2">
        <v>0.36041666666666666</v>
      </c>
      <c r="O261" s="2">
        <v>0.36041666666666666</v>
      </c>
      <c r="P261" s="2">
        <v>0.36180555555555555</v>
      </c>
      <c r="Q261" s="2">
        <v>0.38541666666666669</v>
      </c>
      <c r="R261" s="2">
        <v>0.39930555555555558</v>
      </c>
      <c r="S261" s="2">
        <v>0.41666666666666669</v>
      </c>
      <c r="T261" t="s">
        <v>7</v>
      </c>
      <c r="U261" t="s">
        <v>263</v>
      </c>
      <c r="V261" t="s">
        <v>8</v>
      </c>
      <c r="X261" t="s">
        <v>66</v>
      </c>
      <c r="Y261" t="s">
        <v>85</v>
      </c>
      <c r="Z261">
        <v>3</v>
      </c>
      <c r="AA261">
        <v>3</v>
      </c>
      <c r="AB261" t="s">
        <v>11</v>
      </c>
      <c r="AC261" t="s">
        <v>12</v>
      </c>
      <c r="AD261" t="s">
        <v>113</v>
      </c>
      <c r="AE261" t="s">
        <v>14</v>
      </c>
      <c r="AF261" s="1">
        <v>25280</v>
      </c>
      <c r="AG261">
        <f t="shared" ca="1" si="14"/>
        <v>56</v>
      </c>
    </row>
    <row r="262" spans="1:33" x14ac:dyDescent="0.2">
      <c r="A262" s="1">
        <v>46041</v>
      </c>
      <c r="B262" t="str">
        <f t="shared" si="12"/>
        <v>lundi</v>
      </c>
      <c r="C262" t="str">
        <f t="shared" si="13"/>
        <v>Jour</v>
      </c>
      <c r="D262">
        <v>1500169</v>
      </c>
      <c r="E262">
        <v>2587993</v>
      </c>
      <c r="F262" t="s">
        <v>21</v>
      </c>
      <c r="G262" t="s">
        <v>1</v>
      </c>
      <c r="H262" t="s">
        <v>213</v>
      </c>
      <c r="I262" t="s">
        <v>103</v>
      </c>
      <c r="J262" t="s">
        <v>256</v>
      </c>
      <c r="K262">
        <v>60704</v>
      </c>
      <c r="L262" t="s">
        <v>61</v>
      </c>
      <c r="M262" t="s">
        <v>253</v>
      </c>
      <c r="N262" s="2">
        <v>0.42222222222222222</v>
      </c>
      <c r="O262" s="2">
        <v>0.4236111111111111</v>
      </c>
      <c r="P262" s="2">
        <v>0.42916666666666664</v>
      </c>
      <c r="Q262" s="2">
        <v>0.4597222222222222</v>
      </c>
      <c r="R262" s="2">
        <v>0.46527777777777779</v>
      </c>
      <c r="S262" s="2">
        <v>0.5</v>
      </c>
      <c r="T262" t="s">
        <v>7</v>
      </c>
      <c r="U262" t="s">
        <v>32</v>
      </c>
      <c r="V262" t="s">
        <v>8</v>
      </c>
      <c r="X262" t="s">
        <v>9</v>
      </c>
      <c r="Y262" t="s">
        <v>10</v>
      </c>
      <c r="Z262">
        <v>1</v>
      </c>
      <c r="AA262">
        <v>5</v>
      </c>
      <c r="AB262" t="s">
        <v>11</v>
      </c>
      <c r="AC262" t="s">
        <v>12</v>
      </c>
      <c r="AD262" t="s">
        <v>13</v>
      </c>
      <c r="AE262" t="s">
        <v>29</v>
      </c>
      <c r="AF262" s="1">
        <v>16732</v>
      </c>
      <c r="AG262">
        <f t="shared" ca="1" si="14"/>
        <v>80</v>
      </c>
    </row>
    <row r="263" spans="1:33" x14ac:dyDescent="0.2">
      <c r="A263" s="1">
        <v>46041</v>
      </c>
      <c r="B263" t="str">
        <f t="shared" si="12"/>
        <v>lundi</v>
      </c>
      <c r="C263" t="str">
        <f t="shared" si="13"/>
        <v>Nuit</v>
      </c>
      <c r="D263">
        <v>1500167</v>
      </c>
      <c r="E263">
        <v>2587964</v>
      </c>
      <c r="F263" t="s">
        <v>21</v>
      </c>
      <c r="G263" t="s">
        <v>16</v>
      </c>
      <c r="H263" t="s">
        <v>213</v>
      </c>
      <c r="I263" t="s">
        <v>103</v>
      </c>
      <c r="J263" t="s">
        <v>256</v>
      </c>
      <c r="K263">
        <v>60704</v>
      </c>
      <c r="L263" t="s">
        <v>5</v>
      </c>
      <c r="M263" t="s">
        <v>6</v>
      </c>
      <c r="N263" s="2">
        <v>0.28888888888888886</v>
      </c>
      <c r="O263" s="2">
        <v>0.29236111111111113</v>
      </c>
      <c r="P263" s="2">
        <v>0.3034722222222222</v>
      </c>
      <c r="Q263" s="2">
        <v>0.31944444444444442</v>
      </c>
      <c r="R263" s="2">
        <v>0.34166666666666667</v>
      </c>
      <c r="S263" s="2">
        <v>0.36458333333333331</v>
      </c>
      <c r="T263" t="s">
        <v>7</v>
      </c>
      <c r="U263" t="s">
        <v>18</v>
      </c>
      <c r="V263" t="s">
        <v>24</v>
      </c>
      <c r="X263" t="s">
        <v>192</v>
      </c>
      <c r="Y263" t="s">
        <v>89</v>
      </c>
      <c r="Z263">
        <v>3</v>
      </c>
      <c r="AA263">
        <v>2</v>
      </c>
      <c r="AB263" t="s">
        <v>11</v>
      </c>
      <c r="AC263" t="s">
        <v>12</v>
      </c>
      <c r="AD263" t="s">
        <v>20</v>
      </c>
      <c r="AE263" t="s">
        <v>29</v>
      </c>
      <c r="AF263" s="1">
        <v>19146</v>
      </c>
      <c r="AG263">
        <f t="shared" ca="1" si="14"/>
        <v>73</v>
      </c>
    </row>
    <row r="264" spans="1:33" x14ac:dyDescent="0.2">
      <c r="A264" s="1">
        <v>46039</v>
      </c>
      <c r="B264" t="str">
        <f t="shared" si="12"/>
        <v>samedi</v>
      </c>
      <c r="C264" t="str">
        <f t="shared" si="13"/>
        <v>Jour</v>
      </c>
      <c r="D264">
        <v>1510908</v>
      </c>
      <c r="E264">
        <v>2587651</v>
      </c>
      <c r="F264" t="s">
        <v>25</v>
      </c>
      <c r="G264" t="s">
        <v>25</v>
      </c>
      <c r="H264" t="s">
        <v>234</v>
      </c>
      <c r="I264" t="s">
        <v>197</v>
      </c>
      <c r="J264" t="s">
        <v>4</v>
      </c>
      <c r="K264">
        <v>60709</v>
      </c>
      <c r="L264" t="s">
        <v>5</v>
      </c>
      <c r="M264" t="s">
        <v>6</v>
      </c>
      <c r="N264" s="2">
        <v>0.75208333333333333</v>
      </c>
      <c r="O264" s="2">
        <v>0.75486111111111109</v>
      </c>
      <c r="P264" s="2">
        <v>0.7583333333333333</v>
      </c>
      <c r="Q264" s="2">
        <v>0.76388888888888884</v>
      </c>
      <c r="R264" s="2">
        <v>0.7729166666666667</v>
      </c>
      <c r="S264" s="2">
        <v>0.79166666666666663</v>
      </c>
      <c r="T264" t="s">
        <v>43</v>
      </c>
      <c r="U264" t="s">
        <v>32</v>
      </c>
      <c r="V264" t="s">
        <v>8</v>
      </c>
      <c r="X264" t="s">
        <v>88</v>
      </c>
      <c r="Y264" t="s">
        <v>89</v>
      </c>
      <c r="Z264">
        <v>3</v>
      </c>
      <c r="AA264">
        <v>2</v>
      </c>
      <c r="AB264" t="s">
        <v>11</v>
      </c>
      <c r="AC264" t="s">
        <v>28</v>
      </c>
      <c r="AD264" t="s">
        <v>20</v>
      </c>
      <c r="AE264" t="s">
        <v>29</v>
      </c>
      <c r="AF264" s="1">
        <v>33037</v>
      </c>
      <c r="AG264">
        <f t="shared" ca="1" si="14"/>
        <v>35</v>
      </c>
    </row>
    <row r="265" spans="1:33" x14ac:dyDescent="0.2">
      <c r="A265" s="1">
        <v>46024</v>
      </c>
      <c r="B265" t="str">
        <f t="shared" si="12"/>
        <v>vendredi</v>
      </c>
      <c r="C265" t="str">
        <f t="shared" si="13"/>
        <v>Nuit</v>
      </c>
      <c r="D265">
        <v>1500330</v>
      </c>
      <c r="E265">
        <v>2583786</v>
      </c>
      <c r="F265" t="s">
        <v>0</v>
      </c>
      <c r="G265" t="s">
        <v>1</v>
      </c>
      <c r="H265" t="s">
        <v>2</v>
      </c>
      <c r="I265" t="s">
        <v>3</v>
      </c>
      <c r="J265" t="s">
        <v>4</v>
      </c>
      <c r="K265">
        <v>60709</v>
      </c>
      <c r="L265" t="s">
        <v>61</v>
      </c>
      <c r="M265" t="s">
        <v>195</v>
      </c>
      <c r="N265" s="2">
        <v>0.89930555555555558</v>
      </c>
      <c r="O265" s="2">
        <v>0.89930555555555558</v>
      </c>
      <c r="P265" s="2">
        <v>0.90277777777777779</v>
      </c>
      <c r="Q265" s="2">
        <v>0.95138888888888884</v>
      </c>
      <c r="R265" s="2">
        <v>0.9555555555555556</v>
      </c>
      <c r="S265" s="2">
        <v>0.99652777777777779</v>
      </c>
      <c r="T265" t="s">
        <v>7</v>
      </c>
      <c r="U265" t="s">
        <v>265</v>
      </c>
      <c r="V265" t="s">
        <v>8</v>
      </c>
      <c r="X265" t="s">
        <v>190</v>
      </c>
      <c r="Y265" t="s">
        <v>191</v>
      </c>
      <c r="Z265">
        <v>1</v>
      </c>
      <c r="AA265">
        <v>5</v>
      </c>
      <c r="AB265" t="s">
        <v>11</v>
      </c>
      <c r="AC265" t="s">
        <v>12</v>
      </c>
      <c r="AD265" t="s">
        <v>212</v>
      </c>
      <c r="AE265" t="s">
        <v>14</v>
      </c>
      <c r="AF265" s="1">
        <v>16410</v>
      </c>
      <c r="AG265">
        <f t="shared" ca="1" si="14"/>
        <v>81</v>
      </c>
    </row>
    <row r="266" spans="1:33" x14ac:dyDescent="0.2">
      <c r="A266" s="1">
        <v>46040</v>
      </c>
      <c r="B266" t="str">
        <f t="shared" si="12"/>
        <v>dimanche</v>
      </c>
      <c r="C266" t="str">
        <f t="shared" si="13"/>
        <v>Nuit</v>
      </c>
      <c r="D266">
        <v>1500163</v>
      </c>
      <c r="E266">
        <v>2587740</v>
      </c>
      <c r="F266" t="s">
        <v>45</v>
      </c>
      <c r="G266" t="s">
        <v>1</v>
      </c>
      <c r="H266" t="s">
        <v>2</v>
      </c>
      <c r="I266" t="s">
        <v>78</v>
      </c>
      <c r="J266" t="s">
        <v>4</v>
      </c>
      <c r="K266">
        <v>60704</v>
      </c>
      <c r="L266" t="s">
        <v>5</v>
      </c>
      <c r="M266" t="s">
        <v>6</v>
      </c>
      <c r="N266" s="2">
        <v>0.12638888888888888</v>
      </c>
      <c r="O266" s="2">
        <v>0.12847222222222221</v>
      </c>
      <c r="P266" s="2">
        <v>0.14166666666666666</v>
      </c>
      <c r="Q266" s="2">
        <v>0.16805555555555557</v>
      </c>
      <c r="R266" s="2">
        <v>0.18680555555555556</v>
      </c>
      <c r="S266" s="2">
        <v>0.2013888888888889</v>
      </c>
      <c r="T266" t="s">
        <v>7</v>
      </c>
      <c r="U266" t="s">
        <v>30</v>
      </c>
      <c r="V266" t="s">
        <v>8</v>
      </c>
      <c r="X266" t="s">
        <v>231</v>
      </c>
      <c r="Y266" t="s">
        <v>232</v>
      </c>
      <c r="Z266">
        <v>3</v>
      </c>
      <c r="AA266">
        <v>2</v>
      </c>
      <c r="AB266" t="s">
        <v>93</v>
      </c>
      <c r="AC266" t="s">
        <v>12</v>
      </c>
      <c r="AD266" t="s">
        <v>233</v>
      </c>
      <c r="AE266" t="s">
        <v>14</v>
      </c>
      <c r="AF266" s="1">
        <v>28695</v>
      </c>
      <c r="AG266">
        <f t="shared" ca="1" si="14"/>
        <v>47</v>
      </c>
    </row>
    <row r="267" spans="1:33" x14ac:dyDescent="0.2">
      <c r="A267" s="1">
        <v>46040</v>
      </c>
      <c r="B267" t="str">
        <f t="shared" si="12"/>
        <v>dimanche</v>
      </c>
      <c r="C267" t="str">
        <f t="shared" si="13"/>
        <v>Jour</v>
      </c>
      <c r="D267">
        <v>1510912</v>
      </c>
      <c r="E267">
        <v>2587837</v>
      </c>
      <c r="F267" t="s">
        <v>15</v>
      </c>
      <c r="G267" t="s">
        <v>1</v>
      </c>
      <c r="H267" t="s">
        <v>99</v>
      </c>
      <c r="I267" t="s">
        <v>103</v>
      </c>
      <c r="J267" t="s">
        <v>4</v>
      </c>
      <c r="K267">
        <v>60709</v>
      </c>
      <c r="L267" t="s">
        <v>5</v>
      </c>
      <c r="M267" t="s">
        <v>6</v>
      </c>
      <c r="N267" s="2">
        <v>0.60347222222222219</v>
      </c>
      <c r="O267" s="2">
        <v>0.60486111111111107</v>
      </c>
      <c r="P267" s="2">
        <v>0.60624999999999996</v>
      </c>
      <c r="Q267" s="2">
        <v>0.63749999999999996</v>
      </c>
      <c r="R267" s="2">
        <v>0.64375000000000004</v>
      </c>
      <c r="S267" s="2">
        <v>0.65833333333333333</v>
      </c>
      <c r="T267" t="s">
        <v>7</v>
      </c>
      <c r="U267" t="s">
        <v>32</v>
      </c>
      <c r="V267" t="s">
        <v>24</v>
      </c>
      <c r="X267" t="s">
        <v>200</v>
      </c>
      <c r="Y267" t="s">
        <v>53</v>
      </c>
      <c r="Z267">
        <v>3</v>
      </c>
      <c r="AA267">
        <v>2</v>
      </c>
      <c r="AB267" t="s">
        <v>11</v>
      </c>
      <c r="AC267" t="s">
        <v>28</v>
      </c>
      <c r="AD267" t="s">
        <v>20</v>
      </c>
      <c r="AE267" t="s">
        <v>29</v>
      </c>
      <c r="AF267" s="1">
        <v>20788</v>
      </c>
      <c r="AG267">
        <f t="shared" ca="1" si="14"/>
        <v>69</v>
      </c>
    </row>
    <row r="268" spans="1:33" x14ac:dyDescent="0.2">
      <c r="A268" s="1">
        <v>46040</v>
      </c>
      <c r="B268" t="str">
        <f t="shared" si="12"/>
        <v>dimanche</v>
      </c>
      <c r="C268" t="str">
        <f t="shared" si="13"/>
        <v>Jour</v>
      </c>
      <c r="D268">
        <v>1510913</v>
      </c>
      <c r="E268">
        <v>2587860</v>
      </c>
      <c r="F268" t="s">
        <v>15</v>
      </c>
      <c r="G268" t="s">
        <v>1</v>
      </c>
      <c r="H268" t="s">
        <v>103</v>
      </c>
      <c r="I268" t="s">
        <v>99</v>
      </c>
      <c r="J268" t="s">
        <v>4</v>
      </c>
      <c r="K268">
        <v>60709</v>
      </c>
      <c r="L268" t="s">
        <v>61</v>
      </c>
      <c r="M268" t="s">
        <v>204</v>
      </c>
      <c r="N268" s="2">
        <v>0.67361111111111116</v>
      </c>
      <c r="O268" s="2">
        <v>0.67500000000000004</v>
      </c>
      <c r="P268" s="2">
        <v>0.67986111111111114</v>
      </c>
      <c r="Q268" s="2">
        <v>0.70208333333333328</v>
      </c>
      <c r="R268" s="2">
        <v>0.70972222222222225</v>
      </c>
      <c r="S268" s="2">
        <v>0.73055555555555551</v>
      </c>
      <c r="T268" t="s">
        <v>38</v>
      </c>
      <c r="U268" t="s">
        <v>265</v>
      </c>
      <c r="V268" t="s">
        <v>8</v>
      </c>
      <c r="X268" t="s">
        <v>33</v>
      </c>
      <c r="Y268" t="s">
        <v>259</v>
      </c>
      <c r="Z268">
        <v>3</v>
      </c>
      <c r="AA268">
        <v>2</v>
      </c>
      <c r="AB268" t="s">
        <v>11</v>
      </c>
      <c r="AC268" t="s">
        <v>12</v>
      </c>
      <c r="AD268" t="s">
        <v>107</v>
      </c>
      <c r="AE268" t="s">
        <v>29</v>
      </c>
      <c r="AF268" s="1">
        <v>12283</v>
      </c>
      <c r="AG268">
        <f t="shared" ca="1" si="14"/>
        <v>92</v>
      </c>
    </row>
    <row r="269" spans="1:33" x14ac:dyDescent="0.2">
      <c r="A269" s="1">
        <v>46040</v>
      </c>
      <c r="B269" t="str">
        <f t="shared" si="12"/>
        <v>dimanche</v>
      </c>
      <c r="C269" t="str">
        <f t="shared" si="13"/>
        <v>Jour</v>
      </c>
      <c r="D269">
        <v>1500165</v>
      </c>
      <c r="E269">
        <v>2587803</v>
      </c>
      <c r="F269" t="s">
        <v>21</v>
      </c>
      <c r="G269" t="s">
        <v>16</v>
      </c>
      <c r="H269" t="s">
        <v>41</v>
      </c>
      <c r="I269" t="s">
        <v>213</v>
      </c>
      <c r="J269" t="s">
        <v>4</v>
      </c>
      <c r="K269">
        <v>60704</v>
      </c>
      <c r="L269" t="s">
        <v>5</v>
      </c>
      <c r="M269" t="s">
        <v>6</v>
      </c>
      <c r="N269" s="2">
        <v>0.50555555555555554</v>
      </c>
      <c r="O269" s="2">
        <v>0.50763888888888886</v>
      </c>
      <c r="P269" s="2">
        <v>0.51249999999999996</v>
      </c>
      <c r="Q269" s="2">
        <v>0.54166666666666663</v>
      </c>
      <c r="R269" s="2">
        <v>0.54513888888888884</v>
      </c>
      <c r="S269" s="2">
        <v>0.5625</v>
      </c>
      <c r="T269" t="s">
        <v>7</v>
      </c>
      <c r="U269" t="s">
        <v>71</v>
      </c>
      <c r="V269" t="s">
        <v>8</v>
      </c>
      <c r="X269" t="s">
        <v>19</v>
      </c>
      <c r="Y269" t="s">
        <v>236</v>
      </c>
      <c r="Z269">
        <v>3</v>
      </c>
      <c r="AA269">
        <v>2</v>
      </c>
      <c r="AB269" t="s">
        <v>93</v>
      </c>
      <c r="AC269" t="s">
        <v>12</v>
      </c>
      <c r="AD269" t="s">
        <v>20</v>
      </c>
      <c r="AE269" t="s">
        <v>14</v>
      </c>
      <c r="AF269" s="1">
        <v>28688</v>
      </c>
      <c r="AG269">
        <f t="shared" ca="1" si="14"/>
        <v>47</v>
      </c>
    </row>
    <row r="270" spans="1:33" x14ac:dyDescent="0.2">
      <c r="A270" s="1">
        <v>46040</v>
      </c>
      <c r="B270" t="str">
        <f t="shared" si="12"/>
        <v>dimanche</v>
      </c>
      <c r="C270" t="str">
        <f t="shared" si="13"/>
        <v>Jour</v>
      </c>
      <c r="D270">
        <v>1500166</v>
      </c>
      <c r="E270">
        <v>2587832</v>
      </c>
      <c r="F270" t="s">
        <v>21</v>
      </c>
      <c r="G270" t="s">
        <v>16</v>
      </c>
      <c r="H270" t="s">
        <v>213</v>
      </c>
      <c r="I270" t="s">
        <v>41</v>
      </c>
      <c r="J270" t="s">
        <v>4</v>
      </c>
      <c r="K270">
        <v>60704</v>
      </c>
      <c r="L270" t="s">
        <v>5</v>
      </c>
      <c r="M270" t="s">
        <v>6</v>
      </c>
      <c r="N270" s="2">
        <v>0.58958333333333335</v>
      </c>
      <c r="O270" s="2">
        <v>0.59305555555555556</v>
      </c>
      <c r="P270" s="2">
        <v>0.6</v>
      </c>
      <c r="Q270" s="2">
        <v>0.64861111111111114</v>
      </c>
      <c r="R270" s="2">
        <v>0.65416666666666667</v>
      </c>
      <c r="S270" s="2">
        <v>0.68402777777777779</v>
      </c>
      <c r="T270" t="s">
        <v>7</v>
      </c>
      <c r="U270" t="s">
        <v>251</v>
      </c>
      <c r="V270" t="s">
        <v>8</v>
      </c>
      <c r="X270" t="s">
        <v>74</v>
      </c>
      <c r="Y270" t="s">
        <v>75</v>
      </c>
      <c r="Z270">
        <v>3</v>
      </c>
      <c r="AA270">
        <v>3</v>
      </c>
      <c r="AB270" t="s">
        <v>11</v>
      </c>
      <c r="AC270" t="s">
        <v>28</v>
      </c>
      <c r="AD270" t="s">
        <v>44</v>
      </c>
      <c r="AE270" t="s">
        <v>29</v>
      </c>
      <c r="AF270" s="1">
        <v>27105</v>
      </c>
      <c r="AG270">
        <f t="shared" ca="1" si="14"/>
        <v>51</v>
      </c>
    </row>
    <row r="271" spans="1:33" x14ac:dyDescent="0.2">
      <c r="A271" s="1">
        <v>46039</v>
      </c>
      <c r="B271" t="str">
        <f t="shared" si="12"/>
        <v>samedi</v>
      </c>
      <c r="C271" t="str">
        <f t="shared" si="13"/>
        <v>Nuit</v>
      </c>
      <c r="D271">
        <v>1510909</v>
      </c>
      <c r="E271">
        <v>2587672</v>
      </c>
      <c r="F271" t="s">
        <v>0</v>
      </c>
      <c r="G271" t="s">
        <v>1</v>
      </c>
      <c r="H271" t="s">
        <v>37</v>
      </c>
      <c r="I271" t="s">
        <v>26</v>
      </c>
      <c r="J271" t="s">
        <v>4</v>
      </c>
      <c r="K271">
        <v>60709</v>
      </c>
      <c r="L271" t="s">
        <v>5</v>
      </c>
      <c r="M271" t="s">
        <v>6</v>
      </c>
      <c r="N271" s="2">
        <v>0.83472222222222225</v>
      </c>
      <c r="O271" s="2">
        <v>0.83611111111111114</v>
      </c>
      <c r="P271" s="2">
        <v>0.84027777777777779</v>
      </c>
      <c r="Q271" s="2">
        <v>0.86597222222222225</v>
      </c>
      <c r="R271" s="2">
        <v>0.875</v>
      </c>
      <c r="S271" s="2">
        <v>0.8979166666666667</v>
      </c>
      <c r="T271" t="s">
        <v>7</v>
      </c>
      <c r="U271" t="s">
        <v>265</v>
      </c>
      <c r="V271" t="s">
        <v>8</v>
      </c>
      <c r="X271" t="s">
        <v>190</v>
      </c>
      <c r="Y271" t="s">
        <v>191</v>
      </c>
      <c r="Z271">
        <v>2</v>
      </c>
      <c r="AA271">
        <v>3</v>
      </c>
      <c r="AB271" t="s">
        <v>11</v>
      </c>
      <c r="AC271" t="s">
        <v>12</v>
      </c>
      <c r="AD271" t="s">
        <v>212</v>
      </c>
      <c r="AE271" t="s">
        <v>14</v>
      </c>
      <c r="AF271" s="1">
        <v>15548</v>
      </c>
      <c r="AG271">
        <f t="shared" ca="1" si="14"/>
        <v>83</v>
      </c>
    </row>
    <row r="272" spans="1:33" x14ac:dyDescent="0.2">
      <c r="A272" s="1">
        <v>46040</v>
      </c>
      <c r="B272" t="str">
        <f t="shared" si="12"/>
        <v>dimanche</v>
      </c>
      <c r="C272" t="str">
        <f t="shared" si="13"/>
        <v>Nuit</v>
      </c>
      <c r="D272">
        <v>1510911</v>
      </c>
      <c r="E272">
        <v>2587747</v>
      </c>
      <c r="F272" t="s">
        <v>0</v>
      </c>
      <c r="G272" t="s">
        <v>16</v>
      </c>
      <c r="H272" t="s">
        <v>26</v>
      </c>
      <c r="I272" t="s">
        <v>37</v>
      </c>
      <c r="J272" t="s">
        <v>258</v>
      </c>
      <c r="K272">
        <v>60709</v>
      </c>
      <c r="L272" t="s">
        <v>5</v>
      </c>
      <c r="M272" t="s">
        <v>6</v>
      </c>
      <c r="N272" s="2">
        <v>0.15833333333333333</v>
      </c>
      <c r="O272" s="2">
        <v>0.16041666666666668</v>
      </c>
      <c r="P272" s="2">
        <v>0.16666666666666666</v>
      </c>
      <c r="Q272" s="2">
        <v>0.18333333333333332</v>
      </c>
      <c r="R272" s="2">
        <v>0.18958333333333333</v>
      </c>
      <c r="S272" s="2">
        <v>0.21875</v>
      </c>
      <c r="T272" t="s">
        <v>7</v>
      </c>
      <c r="U272" t="s">
        <v>32</v>
      </c>
      <c r="V272" t="s">
        <v>8</v>
      </c>
      <c r="X272" t="s">
        <v>214</v>
      </c>
      <c r="Y272" t="s">
        <v>215</v>
      </c>
      <c r="Z272">
        <v>1</v>
      </c>
      <c r="AA272">
        <v>4</v>
      </c>
      <c r="AB272" t="s">
        <v>11</v>
      </c>
      <c r="AC272" t="s">
        <v>12</v>
      </c>
      <c r="AD272" t="s">
        <v>20</v>
      </c>
      <c r="AE272" t="s">
        <v>14</v>
      </c>
      <c r="AF272" s="1">
        <v>12357</v>
      </c>
      <c r="AG272">
        <f t="shared" ca="1" si="14"/>
        <v>92</v>
      </c>
    </row>
    <row r="273" spans="1:33" x14ac:dyDescent="0.2">
      <c r="A273" s="1">
        <v>46040</v>
      </c>
      <c r="B273" t="str">
        <f t="shared" si="12"/>
        <v>dimanche</v>
      </c>
      <c r="C273" t="str">
        <f t="shared" si="13"/>
        <v>Nuit</v>
      </c>
      <c r="D273">
        <v>1500164</v>
      </c>
      <c r="E273">
        <v>2587750</v>
      </c>
      <c r="F273" t="s">
        <v>45</v>
      </c>
      <c r="G273" t="s">
        <v>16</v>
      </c>
      <c r="H273" t="s">
        <v>78</v>
      </c>
      <c r="I273" t="s">
        <v>2</v>
      </c>
      <c r="J273" t="s">
        <v>4</v>
      </c>
      <c r="K273">
        <v>60704</v>
      </c>
      <c r="L273" t="s">
        <v>5</v>
      </c>
      <c r="M273" t="s">
        <v>6</v>
      </c>
      <c r="N273" s="2">
        <v>0.24583333333333332</v>
      </c>
      <c r="O273" s="2">
        <v>0.24722222222222223</v>
      </c>
      <c r="P273" s="2">
        <v>0.25763888888888886</v>
      </c>
      <c r="Q273" s="2">
        <v>0.27152777777777776</v>
      </c>
      <c r="R273" s="2">
        <v>0.28611111111111109</v>
      </c>
      <c r="S273" s="2">
        <v>0.30208333333333331</v>
      </c>
      <c r="T273" t="s">
        <v>7</v>
      </c>
      <c r="U273" t="s">
        <v>18</v>
      </c>
      <c r="V273" t="s">
        <v>8</v>
      </c>
      <c r="X273" t="s">
        <v>252</v>
      </c>
      <c r="Y273" t="s">
        <v>48</v>
      </c>
      <c r="Z273">
        <v>2</v>
      </c>
      <c r="AA273">
        <v>2</v>
      </c>
      <c r="AB273" t="s">
        <v>11</v>
      </c>
      <c r="AC273" t="s">
        <v>12</v>
      </c>
      <c r="AD273" t="s">
        <v>20</v>
      </c>
      <c r="AE273" t="s">
        <v>14</v>
      </c>
      <c r="AF273" s="1">
        <v>16089</v>
      </c>
      <c r="AG273">
        <f t="shared" ca="1" si="14"/>
        <v>82</v>
      </c>
    </row>
    <row r="274" spans="1:33" x14ac:dyDescent="0.2">
      <c r="A274" s="1">
        <v>46039</v>
      </c>
      <c r="B274" t="str">
        <f t="shared" si="12"/>
        <v>samedi</v>
      </c>
      <c r="C274" t="str">
        <f t="shared" si="13"/>
        <v>Jour</v>
      </c>
      <c r="D274">
        <v>1492833</v>
      </c>
      <c r="E274">
        <v>2587652</v>
      </c>
      <c r="F274" t="s">
        <v>15</v>
      </c>
      <c r="G274" t="s">
        <v>16</v>
      </c>
      <c r="H274" t="s">
        <v>99</v>
      </c>
      <c r="I274" t="s">
        <v>68</v>
      </c>
      <c r="J274" t="s">
        <v>4</v>
      </c>
      <c r="K274">
        <v>60707</v>
      </c>
      <c r="L274" t="s">
        <v>5</v>
      </c>
      <c r="M274" t="s">
        <v>6</v>
      </c>
      <c r="N274" s="2">
        <v>0.75347222222222221</v>
      </c>
      <c r="O274" s="2">
        <v>0.75486111111111109</v>
      </c>
      <c r="P274" s="2">
        <v>0.76180555555555551</v>
      </c>
      <c r="Q274" s="2">
        <v>0.77847222222222223</v>
      </c>
      <c r="R274" s="2">
        <v>0.78333333333333333</v>
      </c>
      <c r="S274" s="2">
        <v>0.8</v>
      </c>
      <c r="T274" t="s">
        <v>7</v>
      </c>
      <c r="U274" t="s">
        <v>265</v>
      </c>
      <c r="V274" t="s">
        <v>8</v>
      </c>
      <c r="X274" t="s">
        <v>206</v>
      </c>
      <c r="Y274" t="s">
        <v>207</v>
      </c>
      <c r="Z274">
        <v>3</v>
      </c>
      <c r="AA274">
        <v>3</v>
      </c>
      <c r="AB274" t="s">
        <v>11</v>
      </c>
      <c r="AC274" t="s">
        <v>12</v>
      </c>
      <c r="AD274" t="s">
        <v>20</v>
      </c>
      <c r="AE274" t="s">
        <v>14</v>
      </c>
      <c r="AF274" s="1">
        <v>13544</v>
      </c>
      <c r="AG274">
        <f t="shared" ca="1" si="14"/>
        <v>89</v>
      </c>
    </row>
    <row r="275" spans="1:33" x14ac:dyDescent="0.2">
      <c r="A275" s="1">
        <v>46039</v>
      </c>
      <c r="B275" t="str">
        <f t="shared" si="12"/>
        <v>samedi</v>
      </c>
      <c r="C275" t="str">
        <f t="shared" si="13"/>
        <v>Nuit</v>
      </c>
      <c r="D275">
        <v>1500162</v>
      </c>
      <c r="E275">
        <v>2587406</v>
      </c>
      <c r="F275" t="s">
        <v>45</v>
      </c>
      <c r="G275" t="s">
        <v>16</v>
      </c>
      <c r="H275" t="s">
        <v>78</v>
      </c>
      <c r="I275" t="s">
        <v>2</v>
      </c>
      <c r="J275" t="s">
        <v>4</v>
      </c>
      <c r="K275">
        <v>60704</v>
      </c>
      <c r="L275" t="s">
        <v>5</v>
      </c>
      <c r="M275" t="s">
        <v>6</v>
      </c>
      <c r="N275" s="2">
        <v>0.9506944444444444</v>
      </c>
      <c r="O275" s="2">
        <v>0.95208333333333328</v>
      </c>
      <c r="P275" s="2">
        <v>0.9555555555555556</v>
      </c>
      <c r="Q275" s="2">
        <v>0.97777777777777775</v>
      </c>
      <c r="R275" s="2">
        <v>0.98124999999999996</v>
      </c>
      <c r="S275" s="2">
        <v>3.472222222222222E-3</v>
      </c>
      <c r="T275" t="s">
        <v>43</v>
      </c>
      <c r="U275" t="s">
        <v>251</v>
      </c>
      <c r="V275" t="s">
        <v>8</v>
      </c>
      <c r="X275" t="s">
        <v>74</v>
      </c>
      <c r="Y275" t="s">
        <v>75</v>
      </c>
      <c r="Z275">
        <v>3</v>
      </c>
      <c r="AA275">
        <v>3</v>
      </c>
      <c r="AB275" t="s">
        <v>11</v>
      </c>
      <c r="AC275" t="s">
        <v>28</v>
      </c>
      <c r="AD275" t="s">
        <v>20</v>
      </c>
      <c r="AE275" t="s">
        <v>29</v>
      </c>
      <c r="AF275" s="1">
        <v>23933</v>
      </c>
      <c r="AG275">
        <f t="shared" ca="1" si="14"/>
        <v>60</v>
      </c>
    </row>
    <row r="276" spans="1:33" x14ac:dyDescent="0.2">
      <c r="A276" s="1">
        <v>46039</v>
      </c>
      <c r="B276" t="str">
        <f t="shared" si="12"/>
        <v>samedi</v>
      </c>
      <c r="C276" t="str">
        <f t="shared" si="13"/>
        <v>Nuit</v>
      </c>
      <c r="D276">
        <v>1500161</v>
      </c>
      <c r="E276">
        <v>2587686</v>
      </c>
      <c r="F276" t="s">
        <v>45</v>
      </c>
      <c r="G276" t="s">
        <v>16</v>
      </c>
      <c r="H276" t="s">
        <v>2</v>
      </c>
      <c r="I276" t="s">
        <v>78</v>
      </c>
      <c r="J276" t="s">
        <v>4</v>
      </c>
      <c r="K276">
        <v>60704</v>
      </c>
      <c r="L276" t="s">
        <v>5</v>
      </c>
      <c r="M276" t="s">
        <v>6</v>
      </c>
      <c r="N276" s="2">
        <v>0.86805555555555558</v>
      </c>
      <c r="O276" s="2">
        <v>0.87013888888888891</v>
      </c>
      <c r="P276" s="2">
        <v>0.87569444444444444</v>
      </c>
      <c r="Q276" s="2">
        <v>0.88402777777777775</v>
      </c>
      <c r="R276" s="2">
        <v>0.88680555555555551</v>
      </c>
      <c r="S276" s="2">
        <v>0.91666666666666663</v>
      </c>
      <c r="T276" t="s">
        <v>43</v>
      </c>
      <c r="U276" t="s">
        <v>251</v>
      </c>
      <c r="V276" t="s">
        <v>8</v>
      </c>
      <c r="X276" t="s">
        <v>200</v>
      </c>
      <c r="Y276" t="s">
        <v>220</v>
      </c>
      <c r="Z276">
        <v>1</v>
      </c>
      <c r="AA276">
        <v>4</v>
      </c>
      <c r="AB276" t="s">
        <v>11</v>
      </c>
      <c r="AC276" t="s">
        <v>12</v>
      </c>
      <c r="AD276" t="s">
        <v>20</v>
      </c>
      <c r="AE276" t="s">
        <v>29</v>
      </c>
      <c r="AF276" s="1">
        <v>28106</v>
      </c>
      <c r="AG276">
        <f t="shared" ca="1" si="14"/>
        <v>49</v>
      </c>
    </row>
    <row r="277" spans="1:33" x14ac:dyDescent="0.2">
      <c r="A277" s="1">
        <v>46038</v>
      </c>
      <c r="B277" t="str">
        <f t="shared" si="12"/>
        <v>vendredi</v>
      </c>
      <c r="C277" t="str">
        <f t="shared" si="13"/>
        <v>Jour</v>
      </c>
      <c r="D277">
        <v>1494458</v>
      </c>
      <c r="E277">
        <v>2587378</v>
      </c>
      <c r="F277" t="s">
        <v>21</v>
      </c>
      <c r="G277" t="s">
        <v>16</v>
      </c>
      <c r="H277" t="s">
        <v>2</v>
      </c>
      <c r="I277" t="s">
        <v>3</v>
      </c>
      <c r="J277" t="s">
        <v>4</v>
      </c>
      <c r="K277">
        <v>60708</v>
      </c>
      <c r="L277" t="s">
        <v>5</v>
      </c>
      <c r="M277" t="s">
        <v>6</v>
      </c>
      <c r="N277" s="2">
        <v>0.63402777777777775</v>
      </c>
      <c r="O277" s="2">
        <v>0.63611111111111107</v>
      </c>
      <c r="P277" s="2">
        <v>0.64166666666666672</v>
      </c>
      <c r="Q277" s="2">
        <v>0.6479166666666667</v>
      </c>
      <c r="R277" s="2">
        <v>0.65347222222222223</v>
      </c>
      <c r="S277" s="2">
        <v>0.67361111111111116</v>
      </c>
      <c r="T277" t="s">
        <v>7</v>
      </c>
      <c r="U277" t="s">
        <v>251</v>
      </c>
      <c r="V277" t="s">
        <v>8</v>
      </c>
      <c r="X277" t="s">
        <v>33</v>
      </c>
      <c r="Y277" t="s">
        <v>40</v>
      </c>
      <c r="Z277">
        <v>2</v>
      </c>
      <c r="AA277">
        <v>3</v>
      </c>
      <c r="AB277" t="s">
        <v>11</v>
      </c>
      <c r="AC277" t="s">
        <v>12</v>
      </c>
      <c r="AD277" t="s">
        <v>20</v>
      </c>
      <c r="AE277" t="s">
        <v>14</v>
      </c>
      <c r="AF277" s="1">
        <v>15578</v>
      </c>
      <c r="AG277">
        <f t="shared" ca="1" si="14"/>
        <v>83</v>
      </c>
    </row>
    <row r="278" spans="1:33" x14ac:dyDescent="0.2">
      <c r="A278" s="1">
        <v>46039</v>
      </c>
      <c r="B278" t="str">
        <f t="shared" si="12"/>
        <v>samedi</v>
      </c>
      <c r="C278" t="str">
        <f t="shared" si="13"/>
        <v>Jour</v>
      </c>
      <c r="D278">
        <v>1500159</v>
      </c>
      <c r="E278">
        <v>2587580</v>
      </c>
      <c r="F278" t="s">
        <v>21</v>
      </c>
      <c r="G278" t="s">
        <v>1</v>
      </c>
      <c r="H278" t="s">
        <v>3</v>
      </c>
      <c r="I278" t="s">
        <v>81</v>
      </c>
      <c r="J278" t="s">
        <v>4</v>
      </c>
      <c r="K278">
        <v>60704</v>
      </c>
      <c r="L278" t="s">
        <v>5</v>
      </c>
      <c r="M278" t="s">
        <v>6</v>
      </c>
      <c r="N278" s="2">
        <v>0.50624999999999998</v>
      </c>
      <c r="O278" s="2">
        <v>0.5083333333333333</v>
      </c>
      <c r="P278" s="2">
        <v>0.50972222222222219</v>
      </c>
      <c r="Q278" s="2">
        <v>0.52222222222222225</v>
      </c>
      <c r="R278" s="2">
        <v>0.52430555555555558</v>
      </c>
      <c r="S278" s="2">
        <v>0.54166666666666663</v>
      </c>
      <c r="T278" t="s">
        <v>38</v>
      </c>
      <c r="U278" t="s">
        <v>251</v>
      </c>
      <c r="V278" t="s">
        <v>8</v>
      </c>
      <c r="X278" t="s">
        <v>214</v>
      </c>
      <c r="Y278" t="s">
        <v>215</v>
      </c>
      <c r="Z278">
        <v>1</v>
      </c>
      <c r="AA278">
        <v>4</v>
      </c>
      <c r="AB278" t="s">
        <v>11</v>
      </c>
      <c r="AC278" t="s">
        <v>12</v>
      </c>
      <c r="AD278" t="s">
        <v>36</v>
      </c>
      <c r="AE278" t="s">
        <v>14</v>
      </c>
      <c r="AF278" s="1">
        <v>11886</v>
      </c>
      <c r="AG278">
        <f t="shared" ca="1" si="14"/>
        <v>93</v>
      </c>
    </row>
    <row r="279" spans="1:33" x14ac:dyDescent="0.2">
      <c r="A279" s="1">
        <v>46038</v>
      </c>
      <c r="B279" t="str">
        <f t="shared" si="12"/>
        <v>vendredi</v>
      </c>
      <c r="C279" t="str">
        <f t="shared" si="13"/>
        <v>Jour</v>
      </c>
      <c r="D279">
        <v>1494459</v>
      </c>
      <c r="E279">
        <v>2587392</v>
      </c>
      <c r="F279" t="s">
        <v>21</v>
      </c>
      <c r="G279" t="s">
        <v>16</v>
      </c>
      <c r="H279" t="s">
        <v>3</v>
      </c>
      <c r="I279" t="s">
        <v>2</v>
      </c>
      <c r="J279" t="s">
        <v>4</v>
      </c>
      <c r="K279">
        <v>60708</v>
      </c>
      <c r="L279" t="s">
        <v>5</v>
      </c>
      <c r="M279" t="s">
        <v>6</v>
      </c>
      <c r="N279" s="2">
        <v>0.67291666666666672</v>
      </c>
      <c r="O279" s="2">
        <v>0.67361111111111116</v>
      </c>
      <c r="P279" s="2">
        <v>0.68472222222222223</v>
      </c>
      <c r="Q279" s="2">
        <v>0.68958333333333333</v>
      </c>
      <c r="R279" s="2">
        <v>0.70208333333333328</v>
      </c>
      <c r="S279" s="2">
        <v>0.71180555555555558</v>
      </c>
      <c r="T279" t="s">
        <v>43</v>
      </c>
      <c r="U279" t="s">
        <v>251</v>
      </c>
      <c r="V279" t="s">
        <v>8</v>
      </c>
      <c r="X279" t="s">
        <v>200</v>
      </c>
      <c r="Y279" t="s">
        <v>51</v>
      </c>
      <c r="Z279">
        <v>3</v>
      </c>
      <c r="AA279">
        <v>2</v>
      </c>
      <c r="AB279" t="s">
        <v>11</v>
      </c>
      <c r="AC279" t="s">
        <v>12</v>
      </c>
      <c r="AD279" t="s">
        <v>20</v>
      </c>
      <c r="AE279" t="s">
        <v>29</v>
      </c>
      <c r="AF279" s="1">
        <v>24573</v>
      </c>
      <c r="AG279">
        <f t="shared" ca="1" si="14"/>
        <v>58</v>
      </c>
    </row>
    <row r="280" spans="1:33" x14ac:dyDescent="0.2">
      <c r="A280" s="1">
        <v>46039</v>
      </c>
      <c r="B280" t="str">
        <f t="shared" si="12"/>
        <v>samedi</v>
      </c>
      <c r="C280" t="str">
        <f t="shared" si="13"/>
        <v>Jour</v>
      </c>
      <c r="D280">
        <v>1492832</v>
      </c>
      <c r="E280">
        <v>2587601</v>
      </c>
      <c r="F280" t="s">
        <v>15</v>
      </c>
      <c r="G280" t="s">
        <v>1</v>
      </c>
      <c r="H280" t="s">
        <v>68</v>
      </c>
      <c r="I280" t="s">
        <v>99</v>
      </c>
      <c r="J280" t="s">
        <v>4</v>
      </c>
      <c r="K280">
        <v>60707</v>
      </c>
      <c r="L280" t="s">
        <v>5</v>
      </c>
      <c r="M280" t="s">
        <v>195</v>
      </c>
      <c r="N280" s="2">
        <v>0.57986111111111116</v>
      </c>
      <c r="O280" s="2">
        <v>0.5805555555555556</v>
      </c>
      <c r="P280" s="2">
        <v>0.58472222222222225</v>
      </c>
      <c r="Q280" s="2">
        <v>0.60763888888888884</v>
      </c>
      <c r="R280" s="2">
        <v>0.6118055555555556</v>
      </c>
      <c r="S280" s="2">
        <v>0.62847222222222221</v>
      </c>
      <c r="T280" t="s">
        <v>137</v>
      </c>
      <c r="U280" t="s">
        <v>54</v>
      </c>
      <c r="V280" t="s">
        <v>8</v>
      </c>
      <c r="X280" t="s">
        <v>135</v>
      </c>
      <c r="Y280" t="s">
        <v>196</v>
      </c>
      <c r="Z280" t="s">
        <v>188</v>
      </c>
      <c r="AA280">
        <v>4</v>
      </c>
      <c r="AB280" t="s">
        <v>11</v>
      </c>
      <c r="AC280" t="s">
        <v>12</v>
      </c>
      <c r="AD280" t="s">
        <v>20</v>
      </c>
      <c r="AE280" t="s">
        <v>14</v>
      </c>
      <c r="AF280" s="1">
        <v>40232</v>
      </c>
      <c r="AG280">
        <f t="shared" ca="1" si="14"/>
        <v>15</v>
      </c>
    </row>
    <row r="281" spans="1:33" x14ac:dyDescent="0.2">
      <c r="A281" s="1">
        <v>46039</v>
      </c>
      <c r="B281" t="str">
        <f t="shared" si="12"/>
        <v>samedi</v>
      </c>
      <c r="C281" t="str">
        <f t="shared" si="13"/>
        <v>Jour</v>
      </c>
      <c r="D281">
        <v>1494463</v>
      </c>
      <c r="E281">
        <v>2587548</v>
      </c>
      <c r="F281" t="s">
        <v>21</v>
      </c>
      <c r="G281" t="s">
        <v>1</v>
      </c>
      <c r="H281" t="s">
        <v>81</v>
      </c>
      <c r="I281" t="s">
        <v>3</v>
      </c>
      <c r="J281" t="s">
        <v>4</v>
      </c>
      <c r="K281">
        <v>60708</v>
      </c>
      <c r="L281" t="s">
        <v>5</v>
      </c>
      <c r="M281" t="s">
        <v>6</v>
      </c>
      <c r="N281" s="2">
        <v>0.41458333333333336</v>
      </c>
      <c r="O281" s="2">
        <v>0.41666666666666669</v>
      </c>
      <c r="P281" s="2">
        <v>0.42777777777777776</v>
      </c>
      <c r="Q281" s="2">
        <v>0.4548611111111111</v>
      </c>
      <c r="R281" s="2">
        <v>0.45833333333333331</v>
      </c>
      <c r="S281" s="2">
        <v>0.47222222222222221</v>
      </c>
      <c r="T281" t="s">
        <v>38</v>
      </c>
      <c r="U281" t="s">
        <v>30</v>
      </c>
      <c r="V281" t="s">
        <v>8</v>
      </c>
      <c r="X281" t="s">
        <v>33</v>
      </c>
      <c r="Y281" t="s">
        <v>220</v>
      </c>
      <c r="Z281">
        <v>2</v>
      </c>
      <c r="AA281">
        <v>3</v>
      </c>
      <c r="AB281" t="s">
        <v>11</v>
      </c>
      <c r="AC281" t="s">
        <v>12</v>
      </c>
      <c r="AD281" t="s">
        <v>20</v>
      </c>
      <c r="AE281" t="s">
        <v>29</v>
      </c>
      <c r="AF281" s="1">
        <v>17677</v>
      </c>
      <c r="AG281">
        <f t="shared" ca="1" si="14"/>
        <v>77</v>
      </c>
    </row>
    <row r="282" spans="1:33" x14ac:dyDescent="0.2">
      <c r="A282" s="1">
        <v>46039</v>
      </c>
      <c r="B282" t="str">
        <f t="shared" si="12"/>
        <v>samedi</v>
      </c>
      <c r="C282" t="str">
        <f t="shared" si="13"/>
        <v>Jour</v>
      </c>
      <c r="D282">
        <v>1500160</v>
      </c>
      <c r="E282">
        <v>2587600</v>
      </c>
      <c r="F282" t="s">
        <v>21</v>
      </c>
      <c r="G282" t="s">
        <v>16</v>
      </c>
      <c r="H282" t="s">
        <v>81</v>
      </c>
      <c r="I282" t="s">
        <v>3</v>
      </c>
      <c r="J282" t="s">
        <v>4</v>
      </c>
      <c r="K282">
        <v>60704</v>
      </c>
      <c r="L282" t="s">
        <v>5</v>
      </c>
      <c r="M282" t="s">
        <v>6</v>
      </c>
      <c r="N282" s="2">
        <v>0.57013888888888886</v>
      </c>
      <c r="O282" s="2">
        <v>0.57222222222222219</v>
      </c>
      <c r="P282" s="2">
        <v>0.57708333333333328</v>
      </c>
      <c r="Q282" s="2">
        <v>0.59722222222222221</v>
      </c>
      <c r="R282" s="2">
        <v>0.60972222222222228</v>
      </c>
      <c r="S282" s="2">
        <v>0.62152777777777779</v>
      </c>
      <c r="T282" t="s">
        <v>7</v>
      </c>
      <c r="U282" t="s">
        <v>251</v>
      </c>
      <c r="V282" t="s">
        <v>8</v>
      </c>
      <c r="X282" t="s">
        <v>33</v>
      </c>
      <c r="Y282" t="s">
        <v>207</v>
      </c>
      <c r="Z282">
        <v>3</v>
      </c>
      <c r="AA282">
        <v>3</v>
      </c>
      <c r="AB282" t="s">
        <v>11</v>
      </c>
      <c r="AC282" t="s">
        <v>12</v>
      </c>
      <c r="AD282" t="s">
        <v>20</v>
      </c>
      <c r="AE282" t="s">
        <v>29</v>
      </c>
      <c r="AF282" s="1">
        <v>14354</v>
      </c>
      <c r="AG282">
        <f t="shared" ca="1" si="14"/>
        <v>86</v>
      </c>
    </row>
    <row r="283" spans="1:33" x14ac:dyDescent="0.2">
      <c r="A283" s="1">
        <v>46039</v>
      </c>
      <c r="B283" t="str">
        <f t="shared" si="12"/>
        <v>samedi</v>
      </c>
      <c r="C283" t="str">
        <f t="shared" si="13"/>
        <v>Jour</v>
      </c>
      <c r="D283">
        <v>1510907</v>
      </c>
      <c r="E283">
        <v>2587579</v>
      </c>
      <c r="F283" t="s">
        <v>25</v>
      </c>
      <c r="G283" t="s">
        <v>25</v>
      </c>
      <c r="H283" t="s">
        <v>197</v>
      </c>
      <c r="I283" t="s">
        <v>234</v>
      </c>
      <c r="J283" t="s">
        <v>4</v>
      </c>
      <c r="K283">
        <v>60709</v>
      </c>
      <c r="L283" t="s">
        <v>5</v>
      </c>
      <c r="M283" t="s">
        <v>6</v>
      </c>
      <c r="N283" s="2">
        <v>0.4909722222222222</v>
      </c>
      <c r="O283" s="2">
        <v>0.49791666666666667</v>
      </c>
      <c r="P283" s="2">
        <v>0.51111111111111107</v>
      </c>
      <c r="Q283" s="2">
        <v>0.53472222222222221</v>
      </c>
      <c r="R283" s="2">
        <v>0.54861111111111116</v>
      </c>
      <c r="S283" s="2">
        <v>0.5625</v>
      </c>
      <c r="T283" t="s">
        <v>7</v>
      </c>
      <c r="U283" t="s">
        <v>251</v>
      </c>
      <c r="V283" t="s">
        <v>8</v>
      </c>
      <c r="X283" t="s">
        <v>74</v>
      </c>
      <c r="Y283" t="s">
        <v>75</v>
      </c>
      <c r="Z283">
        <v>3</v>
      </c>
      <c r="AA283">
        <v>3</v>
      </c>
      <c r="AB283" t="s">
        <v>11</v>
      </c>
      <c r="AC283" t="s">
        <v>28</v>
      </c>
      <c r="AD283" t="s">
        <v>20</v>
      </c>
      <c r="AE283" t="s">
        <v>14</v>
      </c>
      <c r="AF283" s="1">
        <v>16346</v>
      </c>
      <c r="AG283">
        <f t="shared" ca="1" si="14"/>
        <v>81</v>
      </c>
    </row>
    <row r="284" spans="1:33" x14ac:dyDescent="0.2">
      <c r="A284" s="1">
        <v>46039</v>
      </c>
      <c r="B284" t="str">
        <f t="shared" si="12"/>
        <v>samedi</v>
      </c>
      <c r="C284" t="str">
        <f t="shared" si="13"/>
        <v>Nuit</v>
      </c>
      <c r="D284">
        <v>1491102</v>
      </c>
      <c r="E284">
        <v>2558717</v>
      </c>
      <c r="F284" t="s">
        <v>45</v>
      </c>
      <c r="G284" t="s">
        <v>16</v>
      </c>
      <c r="H284" t="s">
        <v>42</v>
      </c>
      <c r="I284" t="s">
        <v>37</v>
      </c>
      <c r="J284" t="s">
        <v>4</v>
      </c>
      <c r="K284">
        <v>60705</v>
      </c>
      <c r="L284" t="s">
        <v>5</v>
      </c>
      <c r="M284" t="s">
        <v>6</v>
      </c>
      <c r="N284" s="2">
        <v>0.23055555555555557</v>
      </c>
      <c r="O284" s="2">
        <v>0.23333333333333334</v>
      </c>
      <c r="P284" s="2">
        <v>0.2388888888888889</v>
      </c>
      <c r="S284" s="2">
        <v>0.27013888888888887</v>
      </c>
      <c r="T284" t="s">
        <v>7</v>
      </c>
      <c r="U284" t="s">
        <v>251</v>
      </c>
      <c r="V284" t="s">
        <v>47</v>
      </c>
      <c r="W284" t="s">
        <v>83</v>
      </c>
      <c r="X284" t="s">
        <v>19</v>
      </c>
      <c r="Y284" t="s">
        <v>211</v>
      </c>
      <c r="Z284">
        <v>3</v>
      </c>
      <c r="AA284">
        <v>1</v>
      </c>
      <c r="AB284" t="s">
        <v>11</v>
      </c>
      <c r="AC284" t="s">
        <v>12</v>
      </c>
      <c r="AD284" t="s">
        <v>20</v>
      </c>
      <c r="AE284" t="s">
        <v>29</v>
      </c>
      <c r="AF284" s="1">
        <v>29186</v>
      </c>
      <c r="AG284">
        <f t="shared" ca="1" si="14"/>
        <v>46</v>
      </c>
    </row>
    <row r="285" spans="1:33" x14ac:dyDescent="0.2">
      <c r="A285" s="1">
        <v>46038</v>
      </c>
      <c r="B285" t="str">
        <f t="shared" si="12"/>
        <v>vendredi</v>
      </c>
      <c r="C285" t="str">
        <f t="shared" si="13"/>
        <v>Nuit</v>
      </c>
      <c r="D285">
        <v>1510905</v>
      </c>
      <c r="E285">
        <v>2587459</v>
      </c>
      <c r="F285" t="s">
        <v>0</v>
      </c>
      <c r="G285" t="s">
        <v>16</v>
      </c>
      <c r="H285" t="s">
        <v>42</v>
      </c>
      <c r="I285" t="s">
        <v>37</v>
      </c>
      <c r="J285" t="s">
        <v>4</v>
      </c>
      <c r="K285">
        <v>60709</v>
      </c>
      <c r="L285" t="s">
        <v>5</v>
      </c>
      <c r="M285" t="s">
        <v>6</v>
      </c>
      <c r="N285" s="2">
        <v>0.83888888888888891</v>
      </c>
      <c r="O285" s="2">
        <v>0.83888888888888891</v>
      </c>
      <c r="P285" s="2">
        <v>0.84375</v>
      </c>
      <c r="Q285" s="2">
        <v>0.87222222222222223</v>
      </c>
      <c r="R285" s="2">
        <v>0.87916666666666665</v>
      </c>
      <c r="S285" s="2">
        <v>0.88680555555555551</v>
      </c>
      <c r="T285" t="s">
        <v>7</v>
      </c>
      <c r="U285" t="s">
        <v>251</v>
      </c>
      <c r="V285" t="s">
        <v>8</v>
      </c>
      <c r="X285" t="s">
        <v>33</v>
      </c>
      <c r="Y285" t="s">
        <v>194</v>
      </c>
      <c r="Z285">
        <v>3</v>
      </c>
      <c r="AA285">
        <v>3</v>
      </c>
      <c r="AB285" t="s">
        <v>11</v>
      </c>
      <c r="AC285" t="s">
        <v>12</v>
      </c>
      <c r="AD285" t="s">
        <v>113</v>
      </c>
      <c r="AE285" t="s">
        <v>14</v>
      </c>
      <c r="AF285" s="1">
        <v>20859</v>
      </c>
      <c r="AG285">
        <f t="shared" ca="1" si="14"/>
        <v>69</v>
      </c>
    </row>
    <row r="286" spans="1:33" x14ac:dyDescent="0.2">
      <c r="A286" s="1">
        <v>46039</v>
      </c>
      <c r="B286" t="str">
        <f t="shared" si="12"/>
        <v>samedi</v>
      </c>
      <c r="C286" t="str">
        <f t="shared" si="13"/>
        <v>Jour</v>
      </c>
      <c r="D286">
        <v>1492831</v>
      </c>
      <c r="E286">
        <v>2587533</v>
      </c>
      <c r="F286" t="s">
        <v>15</v>
      </c>
      <c r="G286" t="s">
        <v>16</v>
      </c>
      <c r="H286" t="s">
        <v>99</v>
      </c>
      <c r="I286" t="s">
        <v>68</v>
      </c>
      <c r="J286" t="s">
        <v>4</v>
      </c>
      <c r="K286">
        <v>60707</v>
      </c>
      <c r="L286" t="s">
        <v>5</v>
      </c>
      <c r="M286" t="s">
        <v>6</v>
      </c>
      <c r="N286" s="2">
        <v>0.34236111111111112</v>
      </c>
      <c r="O286" s="2">
        <v>0.34375</v>
      </c>
      <c r="P286" s="2">
        <v>0.34722222222222221</v>
      </c>
      <c r="Q286" s="2">
        <v>0.3659722222222222</v>
      </c>
      <c r="R286" s="2">
        <v>0.37083333333333335</v>
      </c>
      <c r="S286" s="2">
        <v>0.38333333333333336</v>
      </c>
      <c r="T286" t="s">
        <v>7</v>
      </c>
      <c r="U286" t="s">
        <v>32</v>
      </c>
      <c r="V286" t="s">
        <v>8</v>
      </c>
      <c r="X286" t="s">
        <v>206</v>
      </c>
      <c r="Y286" t="s">
        <v>259</v>
      </c>
      <c r="Z286">
        <v>3</v>
      </c>
      <c r="AA286">
        <v>3</v>
      </c>
      <c r="AB286" t="s">
        <v>11</v>
      </c>
      <c r="AC286" t="s">
        <v>12</v>
      </c>
      <c r="AD286" t="s">
        <v>20</v>
      </c>
      <c r="AE286" t="s">
        <v>14</v>
      </c>
      <c r="AF286" s="1">
        <v>14918</v>
      </c>
      <c r="AG286">
        <f t="shared" ca="1" si="14"/>
        <v>85</v>
      </c>
    </row>
    <row r="287" spans="1:33" x14ac:dyDescent="0.2">
      <c r="A287" s="1">
        <v>46038</v>
      </c>
      <c r="B287" t="str">
        <f t="shared" si="12"/>
        <v>vendredi</v>
      </c>
      <c r="C287" t="str">
        <f t="shared" si="13"/>
        <v>Jour</v>
      </c>
      <c r="D287">
        <v>1510904</v>
      </c>
      <c r="E287">
        <v>2587415</v>
      </c>
      <c r="F287" t="s">
        <v>0</v>
      </c>
      <c r="G287" t="s">
        <v>16</v>
      </c>
      <c r="H287" t="s">
        <v>37</v>
      </c>
      <c r="I287" t="s">
        <v>42</v>
      </c>
      <c r="J287" t="s">
        <v>4</v>
      </c>
      <c r="K287">
        <v>60709</v>
      </c>
      <c r="L287" t="s">
        <v>5</v>
      </c>
      <c r="M287" t="s">
        <v>6</v>
      </c>
      <c r="N287" s="2">
        <v>0.77847222222222223</v>
      </c>
      <c r="O287" s="2">
        <v>0.78055555555555556</v>
      </c>
      <c r="P287" s="2">
        <v>0.78541666666666665</v>
      </c>
      <c r="Q287" s="2">
        <v>0.80486111111111114</v>
      </c>
      <c r="R287" s="2">
        <v>0.81597222222222221</v>
      </c>
      <c r="S287" s="2">
        <v>0.83611111111111114</v>
      </c>
      <c r="T287" t="s">
        <v>7</v>
      </c>
      <c r="U287" t="s">
        <v>32</v>
      </c>
      <c r="V287" t="s">
        <v>8</v>
      </c>
      <c r="X287" t="s">
        <v>200</v>
      </c>
      <c r="Y287" t="s">
        <v>210</v>
      </c>
      <c r="Z287">
        <v>2</v>
      </c>
      <c r="AA287">
        <v>3</v>
      </c>
      <c r="AB287" t="s">
        <v>11</v>
      </c>
      <c r="AC287" t="s">
        <v>12</v>
      </c>
      <c r="AD287" t="s">
        <v>20</v>
      </c>
      <c r="AE287" t="s">
        <v>14</v>
      </c>
      <c r="AF287" s="1">
        <v>36383</v>
      </c>
      <c r="AG287">
        <f t="shared" ca="1" si="14"/>
        <v>26</v>
      </c>
    </row>
    <row r="288" spans="1:33" x14ac:dyDescent="0.2">
      <c r="A288" s="1">
        <v>46039</v>
      </c>
      <c r="B288" t="str">
        <f t="shared" si="12"/>
        <v>samedi</v>
      </c>
      <c r="C288" t="str">
        <f t="shared" si="13"/>
        <v>Nuit</v>
      </c>
      <c r="D288">
        <v>1510906</v>
      </c>
      <c r="E288">
        <v>2587506</v>
      </c>
      <c r="F288" t="s">
        <v>0</v>
      </c>
      <c r="G288" t="s">
        <v>16</v>
      </c>
      <c r="H288" t="s">
        <v>37</v>
      </c>
      <c r="I288" t="s">
        <v>42</v>
      </c>
      <c r="J288" t="s">
        <v>4</v>
      </c>
      <c r="K288">
        <v>60709</v>
      </c>
      <c r="L288" t="s">
        <v>5</v>
      </c>
      <c r="M288" t="s">
        <v>6</v>
      </c>
      <c r="N288" s="2">
        <v>0.1423611111111111</v>
      </c>
      <c r="O288" s="2">
        <v>0.1451388888888889</v>
      </c>
      <c r="P288" s="2">
        <v>0.14791666666666667</v>
      </c>
      <c r="Q288" s="2">
        <v>0.16597222222222222</v>
      </c>
      <c r="R288" s="2">
        <v>0.16875000000000001</v>
      </c>
      <c r="S288" s="2">
        <v>0.19375000000000001</v>
      </c>
      <c r="T288" t="s">
        <v>43</v>
      </c>
      <c r="U288" t="s">
        <v>263</v>
      </c>
      <c r="V288" t="s">
        <v>24</v>
      </c>
      <c r="X288" t="s">
        <v>74</v>
      </c>
      <c r="Y288" t="s">
        <v>75</v>
      </c>
      <c r="Z288">
        <v>3</v>
      </c>
      <c r="AA288">
        <v>2</v>
      </c>
      <c r="AB288" t="s">
        <v>11</v>
      </c>
      <c r="AC288" t="s">
        <v>28</v>
      </c>
      <c r="AD288" t="s">
        <v>44</v>
      </c>
      <c r="AE288" t="s">
        <v>29</v>
      </c>
      <c r="AF288" s="1">
        <v>33299</v>
      </c>
      <c r="AG288">
        <f t="shared" ca="1" si="14"/>
        <v>34</v>
      </c>
    </row>
    <row r="289" spans="1:33" x14ac:dyDescent="0.2">
      <c r="A289" s="1">
        <v>46039</v>
      </c>
      <c r="B289" t="str">
        <f t="shared" si="12"/>
        <v>samedi</v>
      </c>
      <c r="C289" t="str">
        <f t="shared" si="13"/>
        <v>Nuit</v>
      </c>
      <c r="D289">
        <v>1494462</v>
      </c>
      <c r="E289">
        <v>2587512</v>
      </c>
      <c r="F289" t="s">
        <v>45</v>
      </c>
      <c r="G289" t="s">
        <v>1</v>
      </c>
      <c r="H289" t="s">
        <v>49</v>
      </c>
      <c r="I289" t="s">
        <v>78</v>
      </c>
      <c r="J289" t="s">
        <v>4</v>
      </c>
      <c r="K289">
        <v>60708</v>
      </c>
      <c r="L289" t="s">
        <v>5</v>
      </c>
      <c r="M289" t="s">
        <v>6</v>
      </c>
      <c r="N289" s="2">
        <v>0.17291666666666666</v>
      </c>
      <c r="O289" s="2">
        <v>0.17430555555555555</v>
      </c>
      <c r="P289" s="2">
        <v>0.18263888888888888</v>
      </c>
      <c r="Q289" s="2">
        <v>0.20624999999999999</v>
      </c>
      <c r="R289" s="2">
        <v>0.21597222222222223</v>
      </c>
      <c r="S289" s="2">
        <v>0.2013888888888889</v>
      </c>
      <c r="T289" t="s">
        <v>7</v>
      </c>
      <c r="U289" t="s">
        <v>18</v>
      </c>
      <c r="V289" t="s">
        <v>8</v>
      </c>
      <c r="X289" t="s">
        <v>192</v>
      </c>
      <c r="Y289" t="s">
        <v>193</v>
      </c>
      <c r="Z289">
        <v>3</v>
      </c>
      <c r="AA289">
        <v>2</v>
      </c>
      <c r="AB289" t="s">
        <v>11</v>
      </c>
      <c r="AC289" t="s">
        <v>28</v>
      </c>
      <c r="AD289" t="s">
        <v>20</v>
      </c>
      <c r="AE289" t="s">
        <v>29</v>
      </c>
      <c r="AF289" s="1">
        <v>30183</v>
      </c>
      <c r="AG289">
        <f t="shared" ca="1" si="14"/>
        <v>43</v>
      </c>
    </row>
    <row r="290" spans="1:33" x14ac:dyDescent="0.2">
      <c r="A290" s="1">
        <v>46038</v>
      </c>
      <c r="B290" t="str">
        <f t="shared" si="12"/>
        <v>vendredi</v>
      </c>
      <c r="C290" t="str">
        <f t="shared" si="13"/>
        <v>Nuit</v>
      </c>
      <c r="D290">
        <v>1494461</v>
      </c>
      <c r="E290">
        <v>2587469</v>
      </c>
      <c r="F290" t="s">
        <v>0</v>
      </c>
      <c r="G290" t="s">
        <v>16</v>
      </c>
      <c r="H290" t="s">
        <v>78</v>
      </c>
      <c r="I290" t="s">
        <v>49</v>
      </c>
      <c r="J290" t="s">
        <v>4</v>
      </c>
      <c r="K290">
        <v>60708</v>
      </c>
      <c r="L290" t="s">
        <v>5</v>
      </c>
      <c r="M290" t="s">
        <v>6</v>
      </c>
      <c r="N290" s="2">
        <v>0.87708333333333333</v>
      </c>
      <c r="O290" s="2">
        <v>0.87986111111111109</v>
      </c>
      <c r="P290" s="2">
        <v>0.89236111111111116</v>
      </c>
      <c r="S290" s="2">
        <v>0.91180555555555554</v>
      </c>
      <c r="T290" t="s">
        <v>7</v>
      </c>
      <c r="U290" t="s">
        <v>104</v>
      </c>
      <c r="V290" t="s">
        <v>47</v>
      </c>
      <c r="W290" t="s">
        <v>199</v>
      </c>
      <c r="X290" t="s">
        <v>33</v>
      </c>
      <c r="Y290" t="s">
        <v>201</v>
      </c>
      <c r="Z290">
        <v>4</v>
      </c>
      <c r="AA290">
        <v>1</v>
      </c>
      <c r="AB290" t="s">
        <v>11</v>
      </c>
      <c r="AC290" t="s">
        <v>12</v>
      </c>
      <c r="AD290" t="s">
        <v>20</v>
      </c>
      <c r="AE290" t="s">
        <v>14</v>
      </c>
      <c r="AF290" s="1">
        <v>34584</v>
      </c>
      <c r="AG290">
        <f t="shared" ca="1" si="14"/>
        <v>31</v>
      </c>
    </row>
    <row r="291" spans="1:33" x14ac:dyDescent="0.2">
      <c r="A291" s="1">
        <v>46038</v>
      </c>
      <c r="B291" t="str">
        <f t="shared" si="12"/>
        <v>vendredi</v>
      </c>
      <c r="C291" t="str">
        <f t="shared" si="13"/>
        <v>Jour</v>
      </c>
      <c r="D291">
        <v>1494460</v>
      </c>
      <c r="E291">
        <v>2587453</v>
      </c>
      <c r="F291" t="s">
        <v>45</v>
      </c>
      <c r="G291" t="s">
        <v>16</v>
      </c>
      <c r="H291" t="s">
        <v>49</v>
      </c>
      <c r="I291" t="s">
        <v>78</v>
      </c>
      <c r="J291" t="s">
        <v>4</v>
      </c>
      <c r="K291">
        <v>60708</v>
      </c>
      <c r="L291" t="s">
        <v>5</v>
      </c>
      <c r="M291" t="s">
        <v>6</v>
      </c>
      <c r="N291" s="2">
        <v>0.82222222222222219</v>
      </c>
      <c r="O291" s="2">
        <v>0.82361111111111107</v>
      </c>
      <c r="P291" s="2">
        <v>0.82847222222222228</v>
      </c>
      <c r="S291" s="2">
        <v>0.84375</v>
      </c>
      <c r="T291" t="s">
        <v>7</v>
      </c>
      <c r="U291" t="s">
        <v>251</v>
      </c>
      <c r="V291" t="s">
        <v>47</v>
      </c>
      <c r="W291" t="s">
        <v>83</v>
      </c>
      <c r="X291" t="s">
        <v>33</v>
      </c>
      <c r="Y291" t="s">
        <v>201</v>
      </c>
      <c r="Z291">
        <v>4</v>
      </c>
      <c r="AA291">
        <v>1</v>
      </c>
      <c r="AB291" t="s">
        <v>11</v>
      </c>
      <c r="AC291" t="s">
        <v>12</v>
      </c>
      <c r="AD291" t="s">
        <v>20</v>
      </c>
      <c r="AE291" t="s">
        <v>29</v>
      </c>
      <c r="AF291" s="1">
        <v>30288</v>
      </c>
      <c r="AG291">
        <f t="shared" ca="1" si="14"/>
        <v>43</v>
      </c>
    </row>
    <row r="292" spans="1:33" x14ac:dyDescent="0.2">
      <c r="A292" s="1">
        <v>46038</v>
      </c>
      <c r="B292" t="str">
        <f t="shared" si="12"/>
        <v>vendredi</v>
      </c>
      <c r="C292" t="str">
        <f t="shared" si="13"/>
        <v>Jour</v>
      </c>
      <c r="D292">
        <v>1510903</v>
      </c>
      <c r="E292">
        <v>2587366</v>
      </c>
      <c r="F292" t="s">
        <v>15</v>
      </c>
      <c r="G292" t="s">
        <v>16</v>
      </c>
      <c r="H292" t="s">
        <v>115</v>
      </c>
      <c r="I292" t="s">
        <v>26</v>
      </c>
      <c r="J292" t="s">
        <v>50</v>
      </c>
      <c r="K292">
        <v>60709</v>
      </c>
      <c r="L292" t="s">
        <v>5</v>
      </c>
      <c r="M292" t="s">
        <v>6</v>
      </c>
      <c r="N292" s="2">
        <v>0.60347222222222219</v>
      </c>
      <c r="O292" s="2">
        <v>0.60486111111111107</v>
      </c>
      <c r="P292" s="2">
        <v>0.60972222222222228</v>
      </c>
      <c r="Q292" s="2">
        <v>0.62361111111111112</v>
      </c>
      <c r="R292" s="2">
        <v>0.63958333333333328</v>
      </c>
      <c r="S292" s="2">
        <v>0.64930555555555558</v>
      </c>
      <c r="T292" t="s">
        <v>87</v>
      </c>
      <c r="U292" t="s">
        <v>32</v>
      </c>
      <c r="V292" t="s">
        <v>8</v>
      </c>
      <c r="X292" t="s">
        <v>19</v>
      </c>
      <c r="Y292" t="s">
        <v>187</v>
      </c>
      <c r="Z292" t="s">
        <v>188</v>
      </c>
      <c r="AA292">
        <v>3</v>
      </c>
      <c r="AB292" t="s">
        <v>11</v>
      </c>
      <c r="AC292" t="s">
        <v>12</v>
      </c>
      <c r="AD292" t="s">
        <v>20</v>
      </c>
      <c r="AE292" t="s">
        <v>14</v>
      </c>
      <c r="AF292" s="1">
        <v>40616</v>
      </c>
      <c r="AG292">
        <f t="shared" ca="1" si="14"/>
        <v>14</v>
      </c>
    </row>
    <row r="293" spans="1:33" x14ac:dyDescent="0.2">
      <c r="A293" s="1">
        <v>46035</v>
      </c>
      <c r="B293" t="str">
        <f t="shared" si="12"/>
        <v>mardi</v>
      </c>
      <c r="C293" t="str">
        <f t="shared" si="13"/>
        <v>Jour</v>
      </c>
      <c r="D293">
        <v>1500400</v>
      </c>
      <c r="E293">
        <v>2586685</v>
      </c>
      <c r="F293" t="s">
        <v>25</v>
      </c>
      <c r="G293" t="s">
        <v>25</v>
      </c>
      <c r="H293" t="s">
        <v>26</v>
      </c>
      <c r="I293" t="s">
        <v>69</v>
      </c>
      <c r="J293" t="s">
        <v>4</v>
      </c>
      <c r="K293">
        <v>60704</v>
      </c>
      <c r="L293" t="s">
        <v>5</v>
      </c>
      <c r="M293" t="s">
        <v>6</v>
      </c>
      <c r="N293" s="2">
        <v>0.75277777777777777</v>
      </c>
      <c r="O293" s="2">
        <v>0.75416666666666665</v>
      </c>
      <c r="P293" s="2">
        <v>0.75694444444444442</v>
      </c>
      <c r="Q293" s="2">
        <v>0.77222222222222225</v>
      </c>
      <c r="R293" s="2">
        <v>0.78263888888888888</v>
      </c>
      <c r="S293" s="2">
        <v>0.8125</v>
      </c>
      <c r="T293" t="s">
        <v>24</v>
      </c>
      <c r="U293" t="s">
        <v>251</v>
      </c>
      <c r="V293" t="s">
        <v>24</v>
      </c>
      <c r="X293" t="s">
        <v>74</v>
      </c>
      <c r="Y293" t="s">
        <v>75</v>
      </c>
      <c r="Z293">
        <v>3</v>
      </c>
      <c r="AA293">
        <v>3</v>
      </c>
      <c r="AB293" t="s">
        <v>11</v>
      </c>
      <c r="AC293" t="s">
        <v>28</v>
      </c>
      <c r="AD293" t="s">
        <v>20</v>
      </c>
      <c r="AE293" t="s">
        <v>14</v>
      </c>
      <c r="AF293" s="1">
        <v>14520</v>
      </c>
      <c r="AG293">
        <f t="shared" ca="1" si="14"/>
        <v>86</v>
      </c>
    </row>
    <row r="294" spans="1:33" x14ac:dyDescent="0.2">
      <c r="A294" s="1">
        <v>46038</v>
      </c>
      <c r="B294" t="str">
        <f t="shared" si="12"/>
        <v>vendredi</v>
      </c>
      <c r="C294" t="str">
        <f t="shared" si="13"/>
        <v>Jour</v>
      </c>
      <c r="D294">
        <v>1510901</v>
      </c>
      <c r="E294">
        <v>2587314</v>
      </c>
      <c r="F294" t="s">
        <v>15</v>
      </c>
      <c r="G294" t="s">
        <v>1</v>
      </c>
      <c r="H294" t="s">
        <v>115</v>
      </c>
      <c r="I294" t="s">
        <v>26</v>
      </c>
      <c r="J294" t="s">
        <v>50</v>
      </c>
      <c r="K294">
        <v>60709</v>
      </c>
      <c r="L294" t="s">
        <v>5</v>
      </c>
      <c r="M294" t="s">
        <v>6</v>
      </c>
      <c r="N294" s="2">
        <v>0.39374999999999999</v>
      </c>
      <c r="O294" s="2">
        <v>0.39513888888888887</v>
      </c>
      <c r="P294" s="2">
        <v>0.39930555555555558</v>
      </c>
      <c r="Q294" s="2">
        <v>0.42499999999999999</v>
      </c>
      <c r="R294" s="2">
        <v>0.44236111111111109</v>
      </c>
      <c r="S294" s="2">
        <v>0.45694444444444443</v>
      </c>
      <c r="T294" t="s">
        <v>7</v>
      </c>
      <c r="U294" t="s">
        <v>32</v>
      </c>
      <c r="V294" t="s">
        <v>8</v>
      </c>
      <c r="X294" t="s">
        <v>66</v>
      </c>
      <c r="Y294" t="s">
        <v>85</v>
      </c>
      <c r="Z294">
        <v>2</v>
      </c>
      <c r="AA294">
        <v>3</v>
      </c>
      <c r="AB294" t="s">
        <v>11</v>
      </c>
      <c r="AC294" t="s">
        <v>12</v>
      </c>
      <c r="AD294" t="s">
        <v>242</v>
      </c>
      <c r="AE294" t="s">
        <v>29</v>
      </c>
      <c r="AF294" s="1">
        <v>21111</v>
      </c>
      <c r="AG294">
        <f t="shared" ca="1" si="14"/>
        <v>68</v>
      </c>
    </row>
    <row r="295" spans="1:33" x14ac:dyDescent="0.2">
      <c r="A295" s="1">
        <v>46035</v>
      </c>
      <c r="B295" t="str">
        <f t="shared" si="12"/>
        <v>mardi</v>
      </c>
      <c r="C295" t="str">
        <f t="shared" si="13"/>
        <v>Jour</v>
      </c>
      <c r="D295">
        <v>1500398</v>
      </c>
      <c r="E295">
        <v>2586624</v>
      </c>
      <c r="F295" t="s">
        <v>25</v>
      </c>
      <c r="G295" t="s">
        <v>25</v>
      </c>
      <c r="H295" t="s">
        <v>26</v>
      </c>
      <c r="I295" t="s">
        <v>69</v>
      </c>
      <c r="J295" t="s">
        <v>4</v>
      </c>
      <c r="K295">
        <v>60704</v>
      </c>
      <c r="L295" t="s">
        <v>5</v>
      </c>
      <c r="M295" t="s">
        <v>6</v>
      </c>
      <c r="N295" s="2">
        <v>0.61458333333333337</v>
      </c>
      <c r="O295" s="2">
        <v>0.62152777777777779</v>
      </c>
      <c r="P295" s="2">
        <v>0.62291666666666667</v>
      </c>
      <c r="Q295" s="2">
        <v>0.6381944444444444</v>
      </c>
      <c r="R295" s="2">
        <v>0.64861111111111114</v>
      </c>
      <c r="S295" s="2">
        <v>0.67361111111111116</v>
      </c>
      <c r="T295" t="s">
        <v>24</v>
      </c>
      <c r="U295" t="s">
        <v>265</v>
      </c>
      <c r="V295" t="s">
        <v>8</v>
      </c>
      <c r="X295" t="s">
        <v>33</v>
      </c>
      <c r="Y295" t="s">
        <v>187</v>
      </c>
      <c r="Z295" t="s">
        <v>188</v>
      </c>
      <c r="AA295">
        <v>3</v>
      </c>
      <c r="AB295" t="s">
        <v>11</v>
      </c>
      <c r="AC295" t="s">
        <v>12</v>
      </c>
      <c r="AD295" t="s">
        <v>20</v>
      </c>
      <c r="AE295" t="s">
        <v>14</v>
      </c>
      <c r="AF295" s="1">
        <v>45987</v>
      </c>
      <c r="AG295">
        <f t="shared" ca="1" si="14"/>
        <v>0</v>
      </c>
    </row>
    <row r="296" spans="1:33" x14ac:dyDescent="0.2">
      <c r="A296" s="1">
        <v>46038</v>
      </c>
      <c r="B296" t="str">
        <f t="shared" si="12"/>
        <v>vendredi</v>
      </c>
      <c r="C296" t="str">
        <f t="shared" si="13"/>
        <v>Jour</v>
      </c>
      <c r="D296">
        <v>1500157</v>
      </c>
      <c r="E296">
        <v>2587357</v>
      </c>
      <c r="F296" t="s">
        <v>25</v>
      </c>
      <c r="G296" t="s">
        <v>25</v>
      </c>
      <c r="H296" t="s">
        <v>234</v>
      </c>
      <c r="I296" t="s">
        <v>189</v>
      </c>
      <c r="J296" t="s">
        <v>4</v>
      </c>
      <c r="K296">
        <v>60704</v>
      </c>
      <c r="L296" t="s">
        <v>5</v>
      </c>
      <c r="M296" t="s">
        <v>6</v>
      </c>
      <c r="N296" s="2">
        <v>0.5708333333333333</v>
      </c>
      <c r="O296" s="2">
        <v>0.57291666666666663</v>
      </c>
      <c r="P296" s="2">
        <v>0.58611111111111114</v>
      </c>
      <c r="Q296" s="2">
        <v>0.59722222222222221</v>
      </c>
      <c r="R296" s="2">
        <v>0.61805555555555558</v>
      </c>
      <c r="S296" s="2">
        <v>0.62847222222222221</v>
      </c>
      <c r="T296" t="s">
        <v>38</v>
      </c>
      <c r="U296" t="s">
        <v>82</v>
      </c>
      <c r="V296" t="s">
        <v>8</v>
      </c>
      <c r="X296" t="s">
        <v>33</v>
      </c>
      <c r="Y296" t="s">
        <v>243</v>
      </c>
      <c r="Z296">
        <v>2</v>
      </c>
      <c r="AA296">
        <v>2</v>
      </c>
      <c r="AB296" t="s">
        <v>11</v>
      </c>
      <c r="AC296" t="s">
        <v>12</v>
      </c>
      <c r="AD296" t="s">
        <v>20</v>
      </c>
      <c r="AE296" t="s">
        <v>29</v>
      </c>
      <c r="AF296" s="1">
        <v>15379</v>
      </c>
      <c r="AG296">
        <f t="shared" ca="1" si="14"/>
        <v>84</v>
      </c>
    </row>
    <row r="297" spans="1:33" x14ac:dyDescent="0.2">
      <c r="A297" s="1">
        <v>46038</v>
      </c>
      <c r="B297" t="str">
        <f t="shared" si="12"/>
        <v>vendredi</v>
      </c>
      <c r="C297" t="str">
        <f t="shared" si="13"/>
        <v>Jour</v>
      </c>
      <c r="D297">
        <v>1510902</v>
      </c>
      <c r="E297">
        <v>2587332</v>
      </c>
      <c r="F297" t="s">
        <v>15</v>
      </c>
      <c r="G297" t="s">
        <v>1</v>
      </c>
      <c r="H297" t="s">
        <v>26</v>
      </c>
      <c r="I297" t="s">
        <v>115</v>
      </c>
      <c r="J297" t="s">
        <v>50</v>
      </c>
      <c r="K297">
        <v>60709</v>
      </c>
      <c r="L297" t="s">
        <v>5</v>
      </c>
      <c r="M297" t="s">
        <v>6</v>
      </c>
      <c r="N297" s="2">
        <v>0.49444444444444446</v>
      </c>
      <c r="O297" s="2">
        <v>0.49583333333333335</v>
      </c>
      <c r="P297" s="2">
        <v>0.5</v>
      </c>
      <c r="Q297" s="2">
        <v>0.53819444444444442</v>
      </c>
      <c r="R297" s="2">
        <v>0.54097222222222219</v>
      </c>
      <c r="S297" s="2">
        <v>0.56597222222222221</v>
      </c>
      <c r="T297" t="s">
        <v>7</v>
      </c>
      <c r="U297" t="s">
        <v>265</v>
      </c>
      <c r="V297" t="s">
        <v>8</v>
      </c>
      <c r="X297" t="s">
        <v>33</v>
      </c>
      <c r="Y297" t="s">
        <v>106</v>
      </c>
      <c r="Z297">
        <v>3</v>
      </c>
      <c r="AA297">
        <v>3</v>
      </c>
      <c r="AB297" t="s">
        <v>11</v>
      </c>
      <c r="AC297" t="s">
        <v>28</v>
      </c>
      <c r="AD297" t="s">
        <v>20</v>
      </c>
      <c r="AE297" t="s">
        <v>14</v>
      </c>
      <c r="AF297" s="1">
        <v>11840</v>
      </c>
      <c r="AG297">
        <f t="shared" ca="1" si="14"/>
        <v>93</v>
      </c>
    </row>
    <row r="298" spans="1:33" x14ac:dyDescent="0.2">
      <c r="A298" s="1">
        <v>46038</v>
      </c>
      <c r="B298" t="str">
        <f t="shared" si="12"/>
        <v>vendredi</v>
      </c>
      <c r="C298" t="str">
        <f t="shared" si="13"/>
        <v>Jour</v>
      </c>
      <c r="D298">
        <v>1500156</v>
      </c>
      <c r="E298">
        <v>2587308</v>
      </c>
      <c r="F298" t="s">
        <v>25</v>
      </c>
      <c r="G298" t="s">
        <v>25</v>
      </c>
      <c r="H298" t="s">
        <v>189</v>
      </c>
      <c r="I298" t="s">
        <v>234</v>
      </c>
      <c r="J298" t="s">
        <v>4</v>
      </c>
      <c r="K298">
        <v>60704</v>
      </c>
      <c r="L298" t="s">
        <v>5</v>
      </c>
      <c r="M298" t="s">
        <v>6</v>
      </c>
      <c r="N298" s="2">
        <v>0.37847222222222221</v>
      </c>
      <c r="O298" s="2">
        <v>0.38472222222222224</v>
      </c>
      <c r="P298" s="2">
        <v>0.39097222222222222</v>
      </c>
      <c r="Q298" s="2">
        <v>0.40972222222222221</v>
      </c>
      <c r="R298" s="2">
        <v>0.41597222222222224</v>
      </c>
      <c r="S298" s="2">
        <v>0.42708333333333331</v>
      </c>
      <c r="T298" t="s">
        <v>7</v>
      </c>
      <c r="U298" t="s">
        <v>251</v>
      </c>
      <c r="V298" t="s">
        <v>24</v>
      </c>
      <c r="X298" t="s">
        <v>66</v>
      </c>
      <c r="Y298" t="s">
        <v>85</v>
      </c>
      <c r="Z298">
        <v>3</v>
      </c>
      <c r="AA298">
        <v>2</v>
      </c>
      <c r="AB298" t="s">
        <v>11</v>
      </c>
      <c r="AC298" t="s">
        <v>12</v>
      </c>
      <c r="AD298" t="s">
        <v>113</v>
      </c>
      <c r="AE298" t="s">
        <v>14</v>
      </c>
      <c r="AF298" s="1">
        <v>15785</v>
      </c>
      <c r="AG298">
        <f t="shared" ca="1" si="14"/>
        <v>82</v>
      </c>
    </row>
    <row r="299" spans="1:33" x14ac:dyDescent="0.2">
      <c r="A299" s="1">
        <v>46037</v>
      </c>
      <c r="B299" t="str">
        <f t="shared" si="12"/>
        <v>jeudi</v>
      </c>
      <c r="C299" t="str">
        <f t="shared" si="13"/>
        <v>Jour</v>
      </c>
      <c r="D299">
        <v>1494453</v>
      </c>
      <c r="E299">
        <v>2587126</v>
      </c>
      <c r="F299" t="s">
        <v>21</v>
      </c>
      <c r="G299" t="s">
        <v>16</v>
      </c>
      <c r="H299" t="s">
        <v>2</v>
      </c>
      <c r="I299" t="s">
        <v>49</v>
      </c>
      <c r="J299" t="s">
        <v>4</v>
      </c>
      <c r="K299">
        <v>60708</v>
      </c>
      <c r="L299" t="s">
        <v>5</v>
      </c>
      <c r="M299" t="s">
        <v>6</v>
      </c>
      <c r="N299" s="2">
        <v>0.59236111111111112</v>
      </c>
      <c r="O299" s="2">
        <v>0.59444444444444444</v>
      </c>
      <c r="P299" s="2">
        <v>0.60347222222222219</v>
      </c>
      <c r="Q299" s="2">
        <v>0.61736111111111114</v>
      </c>
      <c r="R299" s="2">
        <v>0.62569444444444444</v>
      </c>
      <c r="S299" s="2">
        <v>0.64236111111111116</v>
      </c>
      <c r="T299" t="s">
        <v>87</v>
      </c>
      <c r="U299" t="s">
        <v>251</v>
      </c>
      <c r="V299" t="s">
        <v>24</v>
      </c>
      <c r="X299" t="s">
        <v>74</v>
      </c>
      <c r="Y299" t="s">
        <v>75</v>
      </c>
      <c r="Z299">
        <v>2</v>
      </c>
      <c r="AA299">
        <v>3</v>
      </c>
      <c r="AB299" t="s">
        <v>11</v>
      </c>
      <c r="AC299" t="s">
        <v>28</v>
      </c>
      <c r="AD299" t="s">
        <v>127</v>
      </c>
      <c r="AE299" t="s">
        <v>29</v>
      </c>
      <c r="AF299" s="1">
        <v>42048</v>
      </c>
      <c r="AG299">
        <f t="shared" ca="1" si="14"/>
        <v>10</v>
      </c>
    </row>
    <row r="300" spans="1:33" x14ac:dyDescent="0.2">
      <c r="A300" s="1">
        <v>46037</v>
      </c>
      <c r="B300" t="str">
        <f t="shared" si="12"/>
        <v>jeudi</v>
      </c>
      <c r="C300" t="str">
        <f t="shared" si="13"/>
        <v>Jour</v>
      </c>
      <c r="D300">
        <v>1494451</v>
      </c>
      <c r="E300">
        <v>2587076</v>
      </c>
      <c r="F300" t="s">
        <v>21</v>
      </c>
      <c r="G300" t="s">
        <v>16</v>
      </c>
      <c r="H300" t="s">
        <v>2</v>
      </c>
      <c r="I300" t="s">
        <v>49</v>
      </c>
      <c r="J300" t="s">
        <v>4</v>
      </c>
      <c r="K300">
        <v>60708</v>
      </c>
      <c r="L300" t="s">
        <v>5</v>
      </c>
      <c r="M300" t="s">
        <v>6</v>
      </c>
      <c r="N300" s="2">
        <v>0.43819444444444444</v>
      </c>
      <c r="O300" s="2">
        <v>0.44097222222222221</v>
      </c>
      <c r="P300" s="2">
        <v>0.44305555555555554</v>
      </c>
      <c r="Q300" s="2">
        <v>0.45</v>
      </c>
      <c r="R300" s="2">
        <v>0.45833333333333331</v>
      </c>
      <c r="S300" s="2">
        <v>0.47916666666666669</v>
      </c>
      <c r="T300" t="s">
        <v>43</v>
      </c>
      <c r="U300" t="s">
        <v>251</v>
      </c>
      <c r="V300" t="s">
        <v>8</v>
      </c>
      <c r="X300" t="s">
        <v>192</v>
      </c>
      <c r="Y300" t="s">
        <v>193</v>
      </c>
      <c r="Z300">
        <v>2</v>
      </c>
      <c r="AA300">
        <v>2</v>
      </c>
      <c r="AB300" t="s">
        <v>11</v>
      </c>
      <c r="AC300" t="s">
        <v>28</v>
      </c>
      <c r="AD300" t="s">
        <v>261</v>
      </c>
      <c r="AE300" t="s">
        <v>14</v>
      </c>
      <c r="AF300" s="1">
        <v>23084</v>
      </c>
      <c r="AG300">
        <f t="shared" ca="1" si="14"/>
        <v>62</v>
      </c>
    </row>
    <row r="301" spans="1:33" x14ac:dyDescent="0.2">
      <c r="A301" s="1">
        <v>46038</v>
      </c>
      <c r="B301" t="str">
        <f t="shared" si="12"/>
        <v>vendredi</v>
      </c>
      <c r="C301" t="str">
        <f t="shared" si="13"/>
        <v>Jour</v>
      </c>
      <c r="D301">
        <v>1475602</v>
      </c>
      <c r="E301">
        <v>2587298</v>
      </c>
      <c r="F301" t="s">
        <v>15</v>
      </c>
      <c r="G301" t="s">
        <v>16</v>
      </c>
      <c r="H301" t="s">
        <v>26</v>
      </c>
      <c r="I301" t="s">
        <v>115</v>
      </c>
      <c r="J301" t="s">
        <v>50</v>
      </c>
      <c r="K301">
        <v>60709</v>
      </c>
      <c r="L301" t="s">
        <v>5</v>
      </c>
      <c r="M301" t="s">
        <v>6</v>
      </c>
      <c r="N301" s="2">
        <v>0.31874999999999998</v>
      </c>
      <c r="O301" s="2">
        <v>0.32013888888888886</v>
      </c>
      <c r="P301" s="2">
        <v>0.32222222222222224</v>
      </c>
      <c r="Q301" s="2">
        <v>0.32847222222222222</v>
      </c>
      <c r="R301" s="2">
        <v>0.33680555555555558</v>
      </c>
      <c r="S301" s="2">
        <v>0.35416666666666669</v>
      </c>
      <c r="T301" t="s">
        <v>43</v>
      </c>
      <c r="U301" t="s">
        <v>263</v>
      </c>
      <c r="V301" t="s">
        <v>24</v>
      </c>
      <c r="X301" t="s">
        <v>74</v>
      </c>
      <c r="Y301" t="s">
        <v>75</v>
      </c>
      <c r="Z301">
        <v>3</v>
      </c>
      <c r="AA301">
        <v>2</v>
      </c>
      <c r="AB301" t="s">
        <v>11</v>
      </c>
      <c r="AC301" t="s">
        <v>28</v>
      </c>
      <c r="AD301" t="s">
        <v>44</v>
      </c>
      <c r="AE301" t="s">
        <v>29</v>
      </c>
      <c r="AF301" s="1">
        <v>30869</v>
      </c>
      <c r="AG301">
        <f t="shared" ca="1" si="14"/>
        <v>41</v>
      </c>
    </row>
    <row r="302" spans="1:33" x14ac:dyDescent="0.2">
      <c r="A302" s="1">
        <v>46038</v>
      </c>
      <c r="B302" t="str">
        <f t="shared" si="12"/>
        <v>vendredi</v>
      </c>
      <c r="C302" t="str">
        <f t="shared" si="13"/>
        <v>Nuit</v>
      </c>
      <c r="D302">
        <v>1500250</v>
      </c>
      <c r="E302">
        <v>2587285</v>
      </c>
      <c r="F302" t="s">
        <v>0</v>
      </c>
      <c r="G302" t="s">
        <v>1</v>
      </c>
      <c r="H302" t="s">
        <v>42</v>
      </c>
      <c r="I302" t="s">
        <v>57</v>
      </c>
      <c r="J302" t="s">
        <v>4</v>
      </c>
      <c r="K302">
        <v>60709</v>
      </c>
      <c r="L302" t="s">
        <v>5</v>
      </c>
      <c r="M302" t="s">
        <v>6</v>
      </c>
      <c r="N302" s="2">
        <v>0.22152777777777777</v>
      </c>
      <c r="O302" s="2">
        <v>0.22291666666666668</v>
      </c>
      <c r="P302" s="2">
        <v>0.2361111111111111</v>
      </c>
      <c r="S302" s="2">
        <v>0.25208333333333333</v>
      </c>
      <c r="T302" t="s">
        <v>43</v>
      </c>
      <c r="U302" t="s">
        <v>114</v>
      </c>
      <c r="V302" t="s">
        <v>47</v>
      </c>
      <c r="W302" t="s">
        <v>199</v>
      </c>
      <c r="X302" t="s">
        <v>33</v>
      </c>
      <c r="Y302" t="s">
        <v>84</v>
      </c>
      <c r="Z302">
        <v>3</v>
      </c>
      <c r="AA302">
        <v>1</v>
      </c>
      <c r="AB302" t="s">
        <v>11</v>
      </c>
      <c r="AC302" t="s">
        <v>28</v>
      </c>
      <c r="AD302" t="s">
        <v>20</v>
      </c>
      <c r="AE302" t="s">
        <v>29</v>
      </c>
      <c r="AF302" s="1">
        <v>38305</v>
      </c>
      <c r="AG302">
        <f t="shared" ca="1" si="14"/>
        <v>21</v>
      </c>
    </row>
    <row r="303" spans="1:33" x14ac:dyDescent="0.2">
      <c r="A303" s="1">
        <v>46037</v>
      </c>
      <c r="B303" t="str">
        <f t="shared" si="12"/>
        <v>jeudi</v>
      </c>
      <c r="C303" t="str">
        <f t="shared" si="13"/>
        <v>Jour</v>
      </c>
      <c r="D303">
        <v>1500248</v>
      </c>
      <c r="E303">
        <v>2587193</v>
      </c>
      <c r="F303" t="s">
        <v>0</v>
      </c>
      <c r="G303" t="s">
        <v>1</v>
      </c>
      <c r="H303" t="s">
        <v>42</v>
      </c>
      <c r="I303" t="s">
        <v>57</v>
      </c>
      <c r="J303" t="s">
        <v>4</v>
      </c>
      <c r="K303">
        <v>60709</v>
      </c>
      <c r="L303" t="s">
        <v>61</v>
      </c>
      <c r="M303" t="s">
        <v>195</v>
      </c>
      <c r="N303" s="2">
        <v>0.78472222222222221</v>
      </c>
      <c r="O303" s="2">
        <v>0.79027777777777775</v>
      </c>
      <c r="P303" s="2">
        <v>0.82708333333333328</v>
      </c>
      <c r="Q303" s="2">
        <v>0.83194444444444449</v>
      </c>
      <c r="R303" s="2">
        <v>0.8354166666666667</v>
      </c>
      <c r="S303" s="2">
        <v>0.85069444444444442</v>
      </c>
      <c r="T303" t="s">
        <v>7</v>
      </c>
      <c r="U303" t="s">
        <v>265</v>
      </c>
      <c r="V303" t="s">
        <v>8</v>
      </c>
      <c r="X303" t="s">
        <v>214</v>
      </c>
      <c r="Y303" t="s">
        <v>215</v>
      </c>
      <c r="Z303">
        <v>1</v>
      </c>
      <c r="AA303">
        <v>4</v>
      </c>
      <c r="AB303" t="s">
        <v>11</v>
      </c>
      <c r="AC303" t="s">
        <v>12</v>
      </c>
      <c r="AD303" t="s">
        <v>20</v>
      </c>
      <c r="AE303" t="s">
        <v>14</v>
      </c>
      <c r="AF303" s="1">
        <v>17329</v>
      </c>
      <c r="AG303">
        <f t="shared" ca="1" si="14"/>
        <v>78</v>
      </c>
    </row>
    <row r="304" spans="1:33" x14ac:dyDescent="0.2">
      <c r="A304" s="1">
        <v>46035</v>
      </c>
      <c r="B304" t="str">
        <f t="shared" si="12"/>
        <v>mardi</v>
      </c>
      <c r="C304" t="str">
        <f t="shared" si="13"/>
        <v>Jour</v>
      </c>
      <c r="D304">
        <v>1500153</v>
      </c>
      <c r="E304">
        <v>2586877</v>
      </c>
      <c r="F304" t="s">
        <v>56</v>
      </c>
      <c r="G304" t="s">
        <v>16</v>
      </c>
      <c r="H304" t="s">
        <v>42</v>
      </c>
      <c r="I304" t="s">
        <v>69</v>
      </c>
      <c r="J304" t="s">
        <v>4</v>
      </c>
      <c r="K304">
        <v>60704</v>
      </c>
      <c r="L304" t="s">
        <v>5</v>
      </c>
      <c r="M304" t="s">
        <v>6</v>
      </c>
      <c r="N304" s="2">
        <v>0.57013888888888886</v>
      </c>
      <c r="O304" s="2">
        <v>0.57361111111111107</v>
      </c>
      <c r="P304" s="2">
        <v>0.57986111111111116</v>
      </c>
      <c r="Q304" s="2">
        <v>0.61041666666666672</v>
      </c>
      <c r="R304" s="2">
        <v>0.61944444444444446</v>
      </c>
      <c r="S304" s="2">
        <v>0.63958333333333328</v>
      </c>
      <c r="T304" t="s">
        <v>38</v>
      </c>
      <c r="U304" t="s">
        <v>263</v>
      </c>
      <c r="V304" t="s">
        <v>8</v>
      </c>
      <c r="X304" t="s">
        <v>74</v>
      </c>
      <c r="Y304" t="s">
        <v>75</v>
      </c>
      <c r="Z304">
        <v>3</v>
      </c>
      <c r="AA304">
        <v>3</v>
      </c>
      <c r="AB304" t="s">
        <v>11</v>
      </c>
      <c r="AC304" t="s">
        <v>28</v>
      </c>
      <c r="AD304" t="s">
        <v>44</v>
      </c>
      <c r="AE304" t="s">
        <v>14</v>
      </c>
      <c r="AF304" s="1">
        <v>12469</v>
      </c>
      <c r="AG304">
        <f t="shared" ca="1" si="14"/>
        <v>91</v>
      </c>
    </row>
    <row r="305" spans="1:33" x14ac:dyDescent="0.2">
      <c r="A305" s="1">
        <v>46036</v>
      </c>
      <c r="B305" t="str">
        <f t="shared" si="12"/>
        <v>mercredi</v>
      </c>
      <c r="C305" t="str">
        <f t="shared" si="13"/>
        <v>Jour</v>
      </c>
      <c r="D305">
        <v>1500151</v>
      </c>
      <c r="E305">
        <v>2586808</v>
      </c>
      <c r="F305" t="s">
        <v>56</v>
      </c>
      <c r="G305" t="s">
        <v>1</v>
      </c>
      <c r="H305" t="s">
        <v>42</v>
      </c>
      <c r="I305" t="s">
        <v>69</v>
      </c>
      <c r="J305" t="s">
        <v>4</v>
      </c>
      <c r="K305">
        <v>60704</v>
      </c>
      <c r="L305" t="s">
        <v>61</v>
      </c>
      <c r="M305" t="s">
        <v>253</v>
      </c>
      <c r="N305" s="2">
        <v>0.37708333333333333</v>
      </c>
      <c r="O305" s="2">
        <v>0.37916666666666665</v>
      </c>
      <c r="P305" s="2">
        <v>0.38472222222222224</v>
      </c>
      <c r="Q305" s="2">
        <v>0.41666666666666669</v>
      </c>
      <c r="R305" s="2">
        <v>0.42638888888888887</v>
      </c>
      <c r="S305" s="2">
        <v>0.44583333333333336</v>
      </c>
      <c r="T305" t="s">
        <v>7</v>
      </c>
      <c r="U305" t="s">
        <v>65</v>
      </c>
      <c r="V305" t="s">
        <v>8</v>
      </c>
      <c r="X305" t="s">
        <v>58</v>
      </c>
      <c r="Y305" t="s">
        <v>59</v>
      </c>
      <c r="Z305">
        <v>1</v>
      </c>
      <c r="AA305">
        <v>4</v>
      </c>
      <c r="AB305" t="s">
        <v>11</v>
      </c>
      <c r="AC305" t="s">
        <v>12</v>
      </c>
      <c r="AD305" t="s">
        <v>60</v>
      </c>
      <c r="AE305" t="s">
        <v>29</v>
      </c>
      <c r="AF305" s="1">
        <v>12512</v>
      </c>
      <c r="AG305">
        <f t="shared" ca="1" si="14"/>
        <v>91</v>
      </c>
    </row>
    <row r="306" spans="1:33" x14ac:dyDescent="0.2">
      <c r="A306" s="1">
        <v>46037</v>
      </c>
      <c r="B306" t="str">
        <f t="shared" si="12"/>
        <v>jeudi</v>
      </c>
      <c r="C306" t="str">
        <f t="shared" si="13"/>
        <v>Jour</v>
      </c>
      <c r="D306">
        <v>1500233</v>
      </c>
      <c r="E306">
        <v>2586658</v>
      </c>
      <c r="F306" t="s">
        <v>56</v>
      </c>
      <c r="G306" t="s">
        <v>1</v>
      </c>
      <c r="H306" t="s">
        <v>42</v>
      </c>
      <c r="I306" t="s">
        <v>68</v>
      </c>
      <c r="J306" t="s">
        <v>4</v>
      </c>
      <c r="K306">
        <v>60709</v>
      </c>
      <c r="L306" t="s">
        <v>5</v>
      </c>
      <c r="M306" t="s">
        <v>6</v>
      </c>
      <c r="N306" s="2">
        <v>0.69513888888888886</v>
      </c>
      <c r="O306" s="2">
        <v>0.69722222222222219</v>
      </c>
      <c r="P306" s="2">
        <v>0.70208333333333328</v>
      </c>
      <c r="Q306" s="2">
        <v>0.72430555555555554</v>
      </c>
      <c r="R306" s="2">
        <v>0.73611111111111116</v>
      </c>
      <c r="S306" s="2">
        <v>0.75486111111111109</v>
      </c>
      <c r="T306" t="s">
        <v>43</v>
      </c>
      <c r="U306" t="s">
        <v>109</v>
      </c>
      <c r="V306" t="s">
        <v>8</v>
      </c>
      <c r="X306" t="s">
        <v>192</v>
      </c>
      <c r="Y306" t="s">
        <v>198</v>
      </c>
      <c r="Z306">
        <v>2</v>
      </c>
      <c r="AA306">
        <v>2</v>
      </c>
      <c r="AB306" t="s">
        <v>11</v>
      </c>
      <c r="AC306" t="s">
        <v>28</v>
      </c>
      <c r="AD306" t="s">
        <v>20</v>
      </c>
      <c r="AE306" t="s">
        <v>29</v>
      </c>
      <c r="AF306" s="1">
        <v>31303</v>
      </c>
      <c r="AG306">
        <f t="shared" ca="1" si="14"/>
        <v>40</v>
      </c>
    </row>
    <row r="307" spans="1:33" x14ac:dyDescent="0.2">
      <c r="A307" s="1">
        <v>46038</v>
      </c>
      <c r="B307" t="str">
        <f t="shared" si="12"/>
        <v>vendredi</v>
      </c>
      <c r="C307" t="str">
        <f t="shared" si="13"/>
        <v>Nuit</v>
      </c>
      <c r="D307">
        <v>1494456</v>
      </c>
      <c r="E307">
        <v>2587275</v>
      </c>
      <c r="F307" t="s">
        <v>45</v>
      </c>
      <c r="G307" t="s">
        <v>16</v>
      </c>
      <c r="H307" t="s">
        <v>41</v>
      </c>
      <c r="I307" t="s">
        <v>23</v>
      </c>
      <c r="J307" t="s">
        <v>4</v>
      </c>
      <c r="K307">
        <v>60708</v>
      </c>
      <c r="L307" t="s">
        <v>5</v>
      </c>
      <c r="M307" t="s">
        <v>6</v>
      </c>
      <c r="N307" s="2">
        <v>0.15694444444444444</v>
      </c>
      <c r="O307" s="2">
        <v>0.15763888888888888</v>
      </c>
      <c r="P307" s="2">
        <v>0.16388888888888889</v>
      </c>
      <c r="Q307" s="2">
        <v>0.18611111111111112</v>
      </c>
      <c r="R307" s="2">
        <v>0.19097222222222221</v>
      </c>
      <c r="S307" s="2">
        <v>0.20833333333333334</v>
      </c>
      <c r="T307" t="s">
        <v>52</v>
      </c>
      <c r="U307" t="s">
        <v>251</v>
      </c>
      <c r="V307" t="s">
        <v>8</v>
      </c>
      <c r="X307" t="s">
        <v>66</v>
      </c>
      <c r="Y307" t="s">
        <v>85</v>
      </c>
      <c r="Z307">
        <v>3</v>
      </c>
      <c r="AA307">
        <v>2</v>
      </c>
      <c r="AB307" t="s">
        <v>11</v>
      </c>
      <c r="AC307" t="s">
        <v>12</v>
      </c>
      <c r="AD307" t="s">
        <v>113</v>
      </c>
      <c r="AE307" t="s">
        <v>14</v>
      </c>
      <c r="AF307" s="1">
        <v>25934</v>
      </c>
      <c r="AG307">
        <f t="shared" ca="1" si="14"/>
        <v>55</v>
      </c>
    </row>
    <row r="308" spans="1:33" x14ac:dyDescent="0.2">
      <c r="A308" s="1">
        <v>46038</v>
      </c>
      <c r="B308" t="str">
        <f t="shared" si="12"/>
        <v>vendredi</v>
      </c>
      <c r="C308" t="str">
        <f t="shared" si="13"/>
        <v>Nuit</v>
      </c>
      <c r="D308">
        <v>1494457</v>
      </c>
      <c r="E308">
        <v>2587284</v>
      </c>
      <c r="F308" t="s">
        <v>45</v>
      </c>
      <c r="G308" t="s">
        <v>1</v>
      </c>
      <c r="H308" t="s">
        <v>23</v>
      </c>
      <c r="I308" t="s">
        <v>41</v>
      </c>
      <c r="J308" t="s">
        <v>4</v>
      </c>
      <c r="K308">
        <v>60708</v>
      </c>
      <c r="L308" t="s">
        <v>5</v>
      </c>
      <c r="M308" t="s">
        <v>6</v>
      </c>
      <c r="N308" s="2">
        <v>0.21597222222222223</v>
      </c>
      <c r="O308" s="2">
        <v>0.21597222222222223</v>
      </c>
      <c r="P308" s="2">
        <v>0.21666666666666667</v>
      </c>
      <c r="Q308" s="2">
        <v>0.2326388888888889</v>
      </c>
      <c r="R308" s="2">
        <v>0.23402777777777778</v>
      </c>
      <c r="S308" s="2">
        <v>0.23541666666666666</v>
      </c>
      <c r="T308" t="s">
        <v>43</v>
      </c>
      <c r="U308" t="s">
        <v>251</v>
      </c>
      <c r="V308" t="s">
        <v>8</v>
      </c>
      <c r="X308" t="s">
        <v>200</v>
      </c>
      <c r="Y308" t="s">
        <v>53</v>
      </c>
      <c r="Z308">
        <v>2</v>
      </c>
      <c r="AA308">
        <v>3</v>
      </c>
      <c r="AB308" t="s">
        <v>11</v>
      </c>
      <c r="AC308" t="s">
        <v>28</v>
      </c>
      <c r="AD308" t="s">
        <v>212</v>
      </c>
      <c r="AE308" t="s">
        <v>29</v>
      </c>
      <c r="AF308" s="1">
        <v>27105</v>
      </c>
      <c r="AG308">
        <f t="shared" ca="1" si="14"/>
        <v>51</v>
      </c>
    </row>
    <row r="309" spans="1:33" x14ac:dyDescent="0.2">
      <c r="A309" s="1">
        <v>46037</v>
      </c>
      <c r="B309" t="str">
        <f t="shared" si="12"/>
        <v>jeudi</v>
      </c>
      <c r="C309" t="str">
        <f t="shared" si="13"/>
        <v>Jour</v>
      </c>
      <c r="D309">
        <v>1494454</v>
      </c>
      <c r="E309">
        <v>2587214</v>
      </c>
      <c r="F309" t="s">
        <v>45</v>
      </c>
      <c r="G309" t="s">
        <v>1</v>
      </c>
      <c r="H309" t="s">
        <v>41</v>
      </c>
      <c r="I309" t="s">
        <v>23</v>
      </c>
      <c r="J309" t="s">
        <v>4</v>
      </c>
      <c r="K309">
        <v>60708</v>
      </c>
      <c r="L309" t="s">
        <v>5</v>
      </c>
      <c r="M309" t="s">
        <v>6</v>
      </c>
      <c r="N309" s="2">
        <v>0.82152777777777775</v>
      </c>
      <c r="O309" s="2">
        <v>0.82222222222222219</v>
      </c>
      <c r="P309" s="2">
        <v>0.8256944444444444</v>
      </c>
      <c r="Q309" s="2">
        <v>0.83125000000000004</v>
      </c>
      <c r="R309" s="2">
        <v>0.83819444444444446</v>
      </c>
      <c r="S309" s="2">
        <v>0.85416666666666663</v>
      </c>
      <c r="T309" t="s">
        <v>43</v>
      </c>
      <c r="U309" t="s">
        <v>251</v>
      </c>
      <c r="V309" t="s">
        <v>8</v>
      </c>
      <c r="X309" t="s">
        <v>19</v>
      </c>
      <c r="Y309" t="s">
        <v>40</v>
      </c>
      <c r="Z309">
        <v>2</v>
      </c>
      <c r="AA309">
        <v>3</v>
      </c>
      <c r="AB309" t="s">
        <v>11</v>
      </c>
      <c r="AC309" t="s">
        <v>12</v>
      </c>
      <c r="AD309" t="s">
        <v>20</v>
      </c>
      <c r="AE309" t="s">
        <v>29</v>
      </c>
      <c r="AF309" s="1">
        <v>23330</v>
      </c>
      <c r="AG309">
        <f t="shared" ca="1" si="14"/>
        <v>62</v>
      </c>
    </row>
    <row r="310" spans="1:33" x14ac:dyDescent="0.2">
      <c r="A310" s="1">
        <v>46037</v>
      </c>
      <c r="B310" t="str">
        <f t="shared" si="12"/>
        <v>jeudi</v>
      </c>
      <c r="C310" t="str">
        <f t="shared" si="13"/>
        <v>Nuit</v>
      </c>
      <c r="D310">
        <v>1494455</v>
      </c>
      <c r="E310">
        <v>2587235</v>
      </c>
      <c r="F310" t="s">
        <v>45</v>
      </c>
      <c r="G310" t="s">
        <v>1</v>
      </c>
      <c r="H310" t="s">
        <v>23</v>
      </c>
      <c r="I310" t="s">
        <v>41</v>
      </c>
      <c r="J310" t="s">
        <v>4</v>
      </c>
      <c r="K310">
        <v>60709</v>
      </c>
      <c r="L310" t="s">
        <v>61</v>
      </c>
      <c r="M310" t="s">
        <v>195</v>
      </c>
      <c r="N310" s="2">
        <v>0.87847222222222221</v>
      </c>
      <c r="O310" s="2">
        <v>0.87847222222222221</v>
      </c>
      <c r="P310" s="2">
        <v>0.88194444444444442</v>
      </c>
      <c r="Q310" s="2">
        <v>0.90833333333333333</v>
      </c>
      <c r="R310" s="2">
        <v>0.91249999999999998</v>
      </c>
      <c r="S310" s="2">
        <v>0.94791666666666663</v>
      </c>
      <c r="T310" t="s">
        <v>52</v>
      </c>
      <c r="U310" t="s">
        <v>251</v>
      </c>
      <c r="V310" t="s">
        <v>8</v>
      </c>
      <c r="X310" t="s">
        <v>35</v>
      </c>
      <c r="Y310" t="s">
        <v>196</v>
      </c>
      <c r="Z310">
        <v>1</v>
      </c>
      <c r="AA310">
        <v>5</v>
      </c>
      <c r="AB310" t="s">
        <v>11</v>
      </c>
      <c r="AC310" t="s">
        <v>12</v>
      </c>
      <c r="AD310" t="s">
        <v>138</v>
      </c>
      <c r="AE310" t="s">
        <v>14</v>
      </c>
      <c r="AF310" s="1">
        <v>26295</v>
      </c>
      <c r="AG310">
        <f t="shared" ca="1" si="14"/>
        <v>54</v>
      </c>
    </row>
    <row r="311" spans="1:33" x14ac:dyDescent="0.2">
      <c r="A311" s="1">
        <v>46037</v>
      </c>
      <c r="B311" t="str">
        <f t="shared" si="12"/>
        <v>jeudi</v>
      </c>
      <c r="C311" t="str">
        <f t="shared" si="13"/>
        <v>Nuit</v>
      </c>
      <c r="D311">
        <v>1494198</v>
      </c>
      <c r="E311">
        <v>2587005</v>
      </c>
      <c r="F311" t="s">
        <v>45</v>
      </c>
      <c r="G311" t="s">
        <v>16</v>
      </c>
      <c r="H311" t="s">
        <v>23</v>
      </c>
      <c r="I311" t="s">
        <v>239</v>
      </c>
      <c r="J311" t="s">
        <v>4</v>
      </c>
      <c r="K311">
        <v>60708</v>
      </c>
      <c r="L311" t="s">
        <v>5</v>
      </c>
      <c r="M311" t="s">
        <v>6</v>
      </c>
      <c r="N311" s="2">
        <v>0.9506944444444444</v>
      </c>
      <c r="O311" s="2">
        <v>0.95208333333333328</v>
      </c>
      <c r="P311" s="2">
        <v>0.9555555555555556</v>
      </c>
      <c r="S311" s="2">
        <v>0.97638888888888886</v>
      </c>
      <c r="T311" t="s">
        <v>87</v>
      </c>
      <c r="U311" t="s">
        <v>251</v>
      </c>
      <c r="V311" t="s">
        <v>47</v>
      </c>
      <c r="W311" t="s">
        <v>199</v>
      </c>
      <c r="X311" t="s">
        <v>33</v>
      </c>
      <c r="Y311" t="s">
        <v>201</v>
      </c>
      <c r="Z311">
        <v>3</v>
      </c>
      <c r="AA311">
        <v>2</v>
      </c>
      <c r="AB311" t="s">
        <v>11</v>
      </c>
      <c r="AC311" t="s">
        <v>28</v>
      </c>
      <c r="AD311" t="s">
        <v>20</v>
      </c>
      <c r="AG311">
        <f t="shared" ca="1" si="14"/>
        <v>126</v>
      </c>
    </row>
    <row r="312" spans="1:33" x14ac:dyDescent="0.2">
      <c r="A312" s="1">
        <v>46037</v>
      </c>
      <c r="B312" t="str">
        <f t="shared" si="12"/>
        <v>jeudi</v>
      </c>
      <c r="C312" t="str">
        <f t="shared" si="13"/>
        <v>Jour</v>
      </c>
      <c r="D312">
        <v>1500245</v>
      </c>
      <c r="E312">
        <v>2587085</v>
      </c>
      <c r="F312" t="s">
        <v>15</v>
      </c>
      <c r="G312" t="s">
        <v>1</v>
      </c>
      <c r="H312" t="s">
        <v>37</v>
      </c>
      <c r="I312" t="s">
        <v>81</v>
      </c>
      <c r="J312" t="s">
        <v>50</v>
      </c>
      <c r="K312">
        <v>60709</v>
      </c>
      <c r="L312" t="s">
        <v>5</v>
      </c>
      <c r="M312" t="s">
        <v>6</v>
      </c>
      <c r="N312" s="2">
        <v>0.47152777777777777</v>
      </c>
      <c r="O312" s="2">
        <v>0.47291666666666665</v>
      </c>
      <c r="P312" s="2">
        <v>0.47499999999999998</v>
      </c>
      <c r="Q312" s="2">
        <v>0.49791666666666667</v>
      </c>
      <c r="R312" s="2">
        <v>0.5083333333333333</v>
      </c>
      <c r="S312" s="2">
        <v>0.53055555555555556</v>
      </c>
      <c r="T312" t="s">
        <v>7</v>
      </c>
      <c r="U312" t="s">
        <v>32</v>
      </c>
      <c r="V312" t="s">
        <v>8</v>
      </c>
      <c r="X312" t="s">
        <v>238</v>
      </c>
      <c r="Y312" t="s">
        <v>128</v>
      </c>
      <c r="Z312">
        <v>2</v>
      </c>
      <c r="AA312">
        <v>2</v>
      </c>
      <c r="AB312" t="s">
        <v>11</v>
      </c>
      <c r="AC312" t="s">
        <v>12</v>
      </c>
      <c r="AD312" t="s">
        <v>20</v>
      </c>
      <c r="AE312" t="s">
        <v>29</v>
      </c>
      <c r="AF312" s="1">
        <v>12461</v>
      </c>
      <c r="AG312">
        <f t="shared" ca="1" si="14"/>
        <v>91</v>
      </c>
    </row>
    <row r="313" spans="1:33" x14ac:dyDescent="0.2">
      <c r="A313" s="1">
        <v>46037</v>
      </c>
      <c r="B313" t="str">
        <f t="shared" si="12"/>
        <v>jeudi</v>
      </c>
      <c r="C313" t="str">
        <f t="shared" si="13"/>
        <v>Nuit</v>
      </c>
      <c r="D313">
        <v>1494200</v>
      </c>
      <c r="E313">
        <v>2587034</v>
      </c>
      <c r="F313" t="s">
        <v>45</v>
      </c>
      <c r="G313" t="s">
        <v>16</v>
      </c>
      <c r="H313" t="s">
        <v>23</v>
      </c>
      <c r="I313" t="s">
        <v>239</v>
      </c>
      <c r="J313" t="s">
        <v>4</v>
      </c>
      <c r="K313">
        <v>60708</v>
      </c>
      <c r="L313" t="s">
        <v>5</v>
      </c>
      <c r="M313" t="s">
        <v>6</v>
      </c>
      <c r="N313" s="2">
        <v>0.20902777777777778</v>
      </c>
      <c r="O313" s="2">
        <v>0.21111111111111111</v>
      </c>
      <c r="P313" s="2">
        <v>0.21875</v>
      </c>
      <c r="S313" s="2">
        <v>0.24097222222222223</v>
      </c>
      <c r="T313" t="s">
        <v>7</v>
      </c>
      <c r="U313" t="s">
        <v>54</v>
      </c>
      <c r="V313" t="s">
        <v>47</v>
      </c>
      <c r="W313" t="s">
        <v>199</v>
      </c>
      <c r="X313" t="s">
        <v>19</v>
      </c>
      <c r="Y313" t="s">
        <v>201</v>
      </c>
      <c r="Z313">
        <v>3</v>
      </c>
      <c r="AA313">
        <v>2</v>
      </c>
      <c r="AB313" t="s">
        <v>93</v>
      </c>
      <c r="AC313" t="s">
        <v>12</v>
      </c>
      <c r="AD313" t="s">
        <v>20</v>
      </c>
      <c r="AE313" t="s">
        <v>14</v>
      </c>
      <c r="AF313" s="1">
        <v>31036</v>
      </c>
      <c r="AG313">
        <f t="shared" ca="1" si="14"/>
        <v>41</v>
      </c>
    </row>
    <row r="314" spans="1:33" x14ac:dyDescent="0.2">
      <c r="A314" s="1">
        <v>46037</v>
      </c>
      <c r="B314" t="str">
        <f t="shared" si="12"/>
        <v>jeudi</v>
      </c>
      <c r="C314" t="str">
        <f t="shared" si="13"/>
        <v>Jour</v>
      </c>
      <c r="D314">
        <v>1500247</v>
      </c>
      <c r="E314">
        <v>2587154</v>
      </c>
      <c r="F314" t="s">
        <v>15</v>
      </c>
      <c r="G314" t="s">
        <v>1</v>
      </c>
      <c r="H314" t="s">
        <v>37</v>
      </c>
      <c r="I314" t="s">
        <v>81</v>
      </c>
      <c r="J314" t="s">
        <v>4</v>
      </c>
      <c r="K314">
        <v>60709</v>
      </c>
      <c r="L314" t="s">
        <v>5</v>
      </c>
      <c r="M314" t="s">
        <v>6</v>
      </c>
      <c r="N314" s="2">
        <v>0.6791666666666667</v>
      </c>
      <c r="O314" s="2">
        <v>0.68125000000000002</v>
      </c>
      <c r="P314" s="2">
        <v>0.68472222222222223</v>
      </c>
      <c r="Q314" s="2">
        <v>0.7006944444444444</v>
      </c>
      <c r="R314" s="2">
        <v>0.7104166666666667</v>
      </c>
      <c r="S314" s="2">
        <v>0.73819444444444449</v>
      </c>
      <c r="T314" t="s">
        <v>64</v>
      </c>
      <c r="U314" t="s">
        <v>32</v>
      </c>
      <c r="V314" t="s">
        <v>8</v>
      </c>
      <c r="X314" t="s">
        <v>200</v>
      </c>
      <c r="Y314" t="s">
        <v>210</v>
      </c>
      <c r="Z314">
        <v>2</v>
      </c>
      <c r="AA314">
        <v>4</v>
      </c>
      <c r="AB314" t="s">
        <v>93</v>
      </c>
      <c r="AC314" t="s">
        <v>12</v>
      </c>
      <c r="AD314" t="s">
        <v>20</v>
      </c>
      <c r="AE314" t="s">
        <v>29</v>
      </c>
      <c r="AF314" s="1">
        <v>34477</v>
      </c>
      <c r="AG314">
        <f t="shared" ca="1" si="14"/>
        <v>31</v>
      </c>
    </row>
    <row r="315" spans="1:33" x14ac:dyDescent="0.2">
      <c r="A315" s="1">
        <v>46037</v>
      </c>
      <c r="B315" t="str">
        <f t="shared" si="12"/>
        <v>jeudi</v>
      </c>
      <c r="C315" t="str">
        <f t="shared" si="13"/>
        <v>Jour</v>
      </c>
      <c r="D315">
        <v>1492827</v>
      </c>
      <c r="E315">
        <v>2587146</v>
      </c>
      <c r="F315" t="s">
        <v>56</v>
      </c>
      <c r="G315" t="s">
        <v>1</v>
      </c>
      <c r="H315" t="s">
        <v>78</v>
      </c>
      <c r="I315" t="s">
        <v>55</v>
      </c>
      <c r="J315" t="s">
        <v>4</v>
      </c>
      <c r="K315">
        <v>60707</v>
      </c>
      <c r="L315" t="s">
        <v>5</v>
      </c>
      <c r="M315" t="s">
        <v>6</v>
      </c>
      <c r="N315" s="2">
        <v>0.6430555555555556</v>
      </c>
      <c r="O315" s="2">
        <v>0.64444444444444449</v>
      </c>
      <c r="P315" s="2">
        <v>0.64652777777777781</v>
      </c>
      <c r="Q315" s="2">
        <v>0.66874999999999996</v>
      </c>
      <c r="R315" s="2">
        <v>0.67222222222222228</v>
      </c>
      <c r="S315" s="2">
        <v>0.70138888888888884</v>
      </c>
      <c r="T315" t="s">
        <v>38</v>
      </c>
      <c r="U315" t="s">
        <v>265</v>
      </c>
      <c r="V315" t="s">
        <v>8</v>
      </c>
      <c r="X315" t="s">
        <v>214</v>
      </c>
      <c r="Y315" t="s">
        <v>215</v>
      </c>
      <c r="Z315">
        <v>1</v>
      </c>
      <c r="AA315">
        <v>4</v>
      </c>
      <c r="AB315" t="s">
        <v>11</v>
      </c>
      <c r="AC315" t="s">
        <v>12</v>
      </c>
      <c r="AD315" t="s">
        <v>20</v>
      </c>
      <c r="AE315" t="s">
        <v>14</v>
      </c>
      <c r="AF315" s="1">
        <v>14691</v>
      </c>
      <c r="AG315">
        <f t="shared" ca="1" si="14"/>
        <v>85</v>
      </c>
    </row>
    <row r="316" spans="1:33" x14ac:dyDescent="0.2">
      <c r="A316" s="1">
        <v>46037</v>
      </c>
      <c r="B316" t="str">
        <f t="shared" si="12"/>
        <v>jeudi</v>
      </c>
      <c r="C316" t="str">
        <f t="shared" si="13"/>
        <v>Jour</v>
      </c>
      <c r="D316">
        <v>1492826</v>
      </c>
      <c r="E316">
        <v>2587105</v>
      </c>
      <c r="F316" t="s">
        <v>56</v>
      </c>
      <c r="G316" t="s">
        <v>16</v>
      </c>
      <c r="H316" t="s">
        <v>55</v>
      </c>
      <c r="I316" t="s">
        <v>78</v>
      </c>
      <c r="J316" t="s">
        <v>4</v>
      </c>
      <c r="K316">
        <v>60707</v>
      </c>
      <c r="L316" t="s">
        <v>5</v>
      </c>
      <c r="M316" t="s">
        <v>6</v>
      </c>
      <c r="N316" s="2">
        <v>0.51875000000000004</v>
      </c>
      <c r="O316" s="2">
        <v>0.52083333333333337</v>
      </c>
      <c r="P316" s="2">
        <v>0.53402777777777777</v>
      </c>
      <c r="Q316" s="2">
        <v>0.55972222222222223</v>
      </c>
      <c r="R316" s="2">
        <v>0.56944444444444442</v>
      </c>
      <c r="S316" s="2">
        <v>0.59722222222222221</v>
      </c>
      <c r="T316" t="s">
        <v>7</v>
      </c>
      <c r="U316" t="s">
        <v>65</v>
      </c>
      <c r="V316" t="s">
        <v>8</v>
      </c>
      <c r="X316" t="s">
        <v>192</v>
      </c>
      <c r="Y316" t="s">
        <v>211</v>
      </c>
      <c r="Z316">
        <v>1</v>
      </c>
      <c r="AA316">
        <v>4</v>
      </c>
      <c r="AB316" t="s">
        <v>11</v>
      </c>
      <c r="AC316" t="s">
        <v>28</v>
      </c>
      <c r="AD316" t="s">
        <v>20</v>
      </c>
      <c r="AE316" t="s">
        <v>14</v>
      </c>
      <c r="AF316" s="1">
        <v>22935</v>
      </c>
      <c r="AG316">
        <f t="shared" ca="1" si="14"/>
        <v>63</v>
      </c>
    </row>
    <row r="317" spans="1:33" x14ac:dyDescent="0.2">
      <c r="A317" s="1">
        <v>46037</v>
      </c>
      <c r="B317" t="str">
        <f t="shared" si="12"/>
        <v>jeudi</v>
      </c>
      <c r="C317" t="str">
        <f t="shared" si="13"/>
        <v>Jour</v>
      </c>
      <c r="D317">
        <v>1492825</v>
      </c>
      <c r="E317">
        <v>2587082</v>
      </c>
      <c r="F317" t="s">
        <v>56</v>
      </c>
      <c r="G317" t="s">
        <v>16</v>
      </c>
      <c r="H317" t="s">
        <v>78</v>
      </c>
      <c r="I317" t="s">
        <v>55</v>
      </c>
      <c r="J317" t="s">
        <v>4</v>
      </c>
      <c r="K317">
        <v>60707</v>
      </c>
      <c r="L317" t="s">
        <v>5</v>
      </c>
      <c r="M317" t="s">
        <v>6</v>
      </c>
      <c r="N317" s="2">
        <v>0.4597222222222222</v>
      </c>
      <c r="O317" s="2">
        <v>0.46319444444444446</v>
      </c>
      <c r="P317" s="2">
        <v>0.46875</v>
      </c>
      <c r="Q317" s="2">
        <v>0.48888888888888887</v>
      </c>
      <c r="R317" s="2">
        <v>0.49652777777777779</v>
      </c>
      <c r="S317" s="2">
        <v>0.51736111111111116</v>
      </c>
      <c r="T317" t="s">
        <v>52</v>
      </c>
      <c r="U317" t="s">
        <v>251</v>
      </c>
      <c r="V317" t="s">
        <v>8</v>
      </c>
      <c r="X317" t="s">
        <v>33</v>
      </c>
      <c r="Y317" t="s">
        <v>123</v>
      </c>
      <c r="Z317">
        <v>3</v>
      </c>
      <c r="AA317">
        <v>2</v>
      </c>
      <c r="AB317" t="s">
        <v>11</v>
      </c>
      <c r="AC317" t="s">
        <v>28</v>
      </c>
      <c r="AD317" t="s">
        <v>44</v>
      </c>
      <c r="AE317" t="s">
        <v>14</v>
      </c>
      <c r="AF317" s="1">
        <v>27010</v>
      </c>
      <c r="AG317">
        <f t="shared" ca="1" si="14"/>
        <v>52</v>
      </c>
    </row>
    <row r="318" spans="1:33" x14ac:dyDescent="0.2">
      <c r="A318" s="1">
        <v>46037</v>
      </c>
      <c r="B318" t="str">
        <f t="shared" si="12"/>
        <v>jeudi</v>
      </c>
      <c r="C318" t="str">
        <f t="shared" si="13"/>
        <v>Jour</v>
      </c>
      <c r="D318">
        <v>1500155</v>
      </c>
      <c r="E318">
        <v>2587062</v>
      </c>
      <c r="F318" t="s">
        <v>25</v>
      </c>
      <c r="G318" t="s">
        <v>25</v>
      </c>
      <c r="H318" t="s">
        <v>234</v>
      </c>
      <c r="I318" t="s">
        <v>189</v>
      </c>
      <c r="J318" t="s">
        <v>4</v>
      </c>
      <c r="K318">
        <v>60704</v>
      </c>
      <c r="L318" t="s">
        <v>5</v>
      </c>
      <c r="M318" t="s">
        <v>6</v>
      </c>
      <c r="N318" s="2">
        <v>0.56666666666666665</v>
      </c>
      <c r="O318" s="2">
        <v>0.5708333333333333</v>
      </c>
      <c r="P318" s="2">
        <v>0.57777777777777772</v>
      </c>
      <c r="Q318" s="2">
        <v>0.59305555555555556</v>
      </c>
      <c r="R318" s="2">
        <v>0.60347222222222219</v>
      </c>
      <c r="S318" s="2">
        <v>0.625</v>
      </c>
      <c r="T318" t="s">
        <v>7</v>
      </c>
      <c r="U318" t="s">
        <v>32</v>
      </c>
      <c r="V318" t="s">
        <v>24</v>
      </c>
      <c r="X318" t="s">
        <v>74</v>
      </c>
      <c r="Y318" t="s">
        <v>75</v>
      </c>
      <c r="Z318">
        <v>3</v>
      </c>
      <c r="AA318">
        <v>2</v>
      </c>
      <c r="AB318" t="s">
        <v>11</v>
      </c>
      <c r="AC318" t="s">
        <v>28</v>
      </c>
      <c r="AD318" t="s">
        <v>44</v>
      </c>
      <c r="AE318" t="s">
        <v>14</v>
      </c>
      <c r="AF318" s="1">
        <v>25062</v>
      </c>
      <c r="AG318">
        <f t="shared" ca="1" si="14"/>
        <v>57</v>
      </c>
    </row>
    <row r="319" spans="1:33" x14ac:dyDescent="0.2">
      <c r="A319" s="1">
        <v>46037</v>
      </c>
      <c r="B319" t="str">
        <f t="shared" si="12"/>
        <v>jeudi</v>
      </c>
      <c r="C319" t="str">
        <f t="shared" si="13"/>
        <v>Jour</v>
      </c>
      <c r="D319">
        <v>1494452</v>
      </c>
      <c r="E319">
        <v>2587097</v>
      </c>
      <c r="F319" t="s">
        <v>21</v>
      </c>
      <c r="G319" t="s">
        <v>1</v>
      </c>
      <c r="H319" t="s">
        <v>49</v>
      </c>
      <c r="I319" t="s">
        <v>2</v>
      </c>
      <c r="J319" t="s">
        <v>4</v>
      </c>
      <c r="K319">
        <v>60708</v>
      </c>
      <c r="L319" t="s">
        <v>5</v>
      </c>
      <c r="M319" t="s">
        <v>6</v>
      </c>
      <c r="N319" s="2">
        <v>0.49375000000000002</v>
      </c>
      <c r="O319" s="2">
        <v>0.49513888888888891</v>
      </c>
      <c r="P319" s="2">
        <v>0.50555555555555554</v>
      </c>
      <c r="Q319" s="2">
        <v>0.51458333333333328</v>
      </c>
      <c r="R319" s="2">
        <v>0.52777777777777779</v>
      </c>
      <c r="S319" s="2">
        <v>0.54166666666666663</v>
      </c>
      <c r="T319" t="s">
        <v>87</v>
      </c>
      <c r="U319" t="s">
        <v>46</v>
      </c>
      <c r="V319" t="s">
        <v>24</v>
      </c>
      <c r="X319" t="s">
        <v>139</v>
      </c>
      <c r="Y319" t="s">
        <v>140</v>
      </c>
      <c r="Z319">
        <v>2</v>
      </c>
      <c r="AA319">
        <v>2</v>
      </c>
      <c r="AB319" t="s">
        <v>11</v>
      </c>
      <c r="AC319" t="s">
        <v>28</v>
      </c>
      <c r="AD319" t="s">
        <v>113</v>
      </c>
      <c r="AE319" t="s">
        <v>14</v>
      </c>
      <c r="AF319" s="1">
        <v>29223</v>
      </c>
      <c r="AG319">
        <f t="shared" ca="1" si="14"/>
        <v>46</v>
      </c>
    </row>
    <row r="320" spans="1:33" x14ac:dyDescent="0.2">
      <c r="A320" s="1">
        <v>46035</v>
      </c>
      <c r="B320" t="str">
        <f t="shared" si="12"/>
        <v>mardi</v>
      </c>
      <c r="C320" t="str">
        <f t="shared" si="13"/>
        <v>Nuit</v>
      </c>
      <c r="D320">
        <v>1500235</v>
      </c>
      <c r="E320">
        <v>2586740</v>
      </c>
      <c r="F320" t="s">
        <v>117</v>
      </c>
      <c r="G320" t="s">
        <v>25</v>
      </c>
      <c r="H320" t="s">
        <v>189</v>
      </c>
      <c r="I320" t="s">
        <v>55</v>
      </c>
      <c r="J320" t="s">
        <v>4</v>
      </c>
      <c r="K320">
        <v>60709</v>
      </c>
      <c r="L320" t="s">
        <v>5</v>
      </c>
      <c r="M320" t="s">
        <v>6</v>
      </c>
      <c r="N320" s="2">
        <v>0.90486111111111112</v>
      </c>
      <c r="O320" s="2">
        <v>0.90625</v>
      </c>
      <c r="P320" s="2">
        <v>0.92569444444444449</v>
      </c>
      <c r="Q320" s="2">
        <v>0.95138888888888884</v>
      </c>
      <c r="R320" s="2">
        <v>0.97222222222222221</v>
      </c>
      <c r="S320" s="2">
        <v>0.98958333333333337</v>
      </c>
      <c r="T320" t="s">
        <v>7</v>
      </c>
      <c r="U320" t="s">
        <v>95</v>
      </c>
      <c r="V320" t="s">
        <v>8</v>
      </c>
      <c r="X320" t="s">
        <v>31</v>
      </c>
      <c r="Y320" t="s">
        <v>194</v>
      </c>
      <c r="Z320">
        <v>3</v>
      </c>
      <c r="AA320">
        <v>3</v>
      </c>
      <c r="AB320" t="s">
        <v>11</v>
      </c>
      <c r="AC320" t="s">
        <v>12</v>
      </c>
      <c r="AD320" t="s">
        <v>113</v>
      </c>
      <c r="AE320" t="s">
        <v>14</v>
      </c>
      <c r="AF320" s="1">
        <v>19433</v>
      </c>
      <c r="AG320">
        <f t="shared" ca="1" si="14"/>
        <v>72</v>
      </c>
    </row>
    <row r="321" spans="1:33" x14ac:dyDescent="0.2">
      <c r="A321" s="1">
        <v>46037</v>
      </c>
      <c r="B321" t="str">
        <f t="shared" si="12"/>
        <v>jeudi</v>
      </c>
      <c r="C321" t="str">
        <f t="shared" si="13"/>
        <v>Jour</v>
      </c>
      <c r="D321">
        <v>1492824</v>
      </c>
      <c r="E321">
        <v>2587046</v>
      </c>
      <c r="F321" t="s">
        <v>56</v>
      </c>
      <c r="G321" t="s">
        <v>1</v>
      </c>
      <c r="H321" t="s">
        <v>55</v>
      </c>
      <c r="I321" t="s">
        <v>78</v>
      </c>
      <c r="J321" t="s">
        <v>4</v>
      </c>
      <c r="K321">
        <v>60707</v>
      </c>
      <c r="L321" t="s">
        <v>5</v>
      </c>
      <c r="M321" t="s">
        <v>6</v>
      </c>
      <c r="N321" s="2">
        <v>0.31180555555555556</v>
      </c>
      <c r="O321" s="2">
        <v>0.31319444444444444</v>
      </c>
      <c r="P321" s="2">
        <v>0.31527777777777777</v>
      </c>
      <c r="Q321" s="2">
        <v>0.3298611111111111</v>
      </c>
      <c r="R321" s="2">
        <v>0.33888888888888891</v>
      </c>
      <c r="S321" s="2">
        <v>0.375</v>
      </c>
      <c r="T321" t="s">
        <v>43</v>
      </c>
      <c r="U321" t="s">
        <v>263</v>
      </c>
      <c r="V321" t="s">
        <v>8</v>
      </c>
      <c r="X321" t="s">
        <v>74</v>
      </c>
      <c r="Y321" t="s">
        <v>75</v>
      </c>
      <c r="Z321">
        <v>3</v>
      </c>
      <c r="AA321">
        <v>2</v>
      </c>
      <c r="AB321" t="s">
        <v>11</v>
      </c>
      <c r="AC321" t="s">
        <v>28</v>
      </c>
      <c r="AD321" t="s">
        <v>44</v>
      </c>
      <c r="AE321" t="s">
        <v>29</v>
      </c>
      <c r="AF321" s="1">
        <v>22295</v>
      </c>
      <c r="AG321">
        <f t="shared" ca="1" si="14"/>
        <v>65</v>
      </c>
    </row>
    <row r="322" spans="1:33" x14ac:dyDescent="0.2">
      <c r="A322" s="1">
        <v>46029</v>
      </c>
      <c r="B322" t="str">
        <f t="shared" ref="B322:B385" si="15">TEXT(A322,"JJJJ")</f>
        <v>mercredi</v>
      </c>
      <c r="C322" t="str">
        <f t="shared" ref="C322:C385" si="16">IF(AND(HOUR(N322)&gt;=7,HOUR(N322)&lt;=19),"Jour","Nuit")</f>
        <v>Nuit</v>
      </c>
      <c r="D322">
        <v>1500348</v>
      </c>
      <c r="E322">
        <v>2584906</v>
      </c>
      <c r="F322" t="s">
        <v>0</v>
      </c>
      <c r="G322" t="s">
        <v>1</v>
      </c>
      <c r="H322" t="s">
        <v>81</v>
      </c>
      <c r="I322" t="s">
        <v>239</v>
      </c>
      <c r="J322" t="s">
        <v>4</v>
      </c>
      <c r="K322">
        <v>60709</v>
      </c>
      <c r="L322" t="s">
        <v>5</v>
      </c>
      <c r="M322" t="s">
        <v>6</v>
      </c>
      <c r="N322" s="2">
        <v>8.4027777777777785E-2</v>
      </c>
      <c r="O322" s="2">
        <v>8.6805555555555552E-2</v>
      </c>
      <c r="P322" s="2">
        <v>8.9583333333333334E-2</v>
      </c>
      <c r="Q322" s="2">
        <v>8.4722222222222227E-2</v>
      </c>
      <c r="R322" s="2">
        <v>0.10416666666666667</v>
      </c>
      <c r="S322" s="2">
        <v>0.125</v>
      </c>
      <c r="T322" t="s">
        <v>86</v>
      </c>
      <c r="U322" t="s">
        <v>265</v>
      </c>
      <c r="V322" t="s">
        <v>8</v>
      </c>
      <c r="X322" t="s">
        <v>9</v>
      </c>
      <c r="Y322" t="s">
        <v>10</v>
      </c>
      <c r="Z322">
        <v>2</v>
      </c>
      <c r="AA322">
        <v>4</v>
      </c>
      <c r="AB322" t="s">
        <v>11</v>
      </c>
      <c r="AC322" t="s">
        <v>12</v>
      </c>
      <c r="AD322" t="s">
        <v>13</v>
      </c>
      <c r="AE322" t="s">
        <v>29</v>
      </c>
      <c r="AF322" s="1">
        <v>36296</v>
      </c>
      <c r="AG322">
        <f t="shared" ref="AG322:AG385" ca="1" si="17">INT((TODAY()-AF322)/365.25)</f>
        <v>26</v>
      </c>
    </row>
    <row r="323" spans="1:33" x14ac:dyDescent="0.2">
      <c r="A323" s="1">
        <v>46029</v>
      </c>
      <c r="B323" t="str">
        <f t="shared" si="15"/>
        <v>mercredi</v>
      </c>
      <c r="C323" t="str">
        <f t="shared" si="16"/>
        <v>Jour</v>
      </c>
      <c r="D323">
        <v>1500472</v>
      </c>
      <c r="E323">
        <v>2585127</v>
      </c>
      <c r="F323" t="s">
        <v>45</v>
      </c>
      <c r="G323" t="s">
        <v>1</v>
      </c>
      <c r="H323" t="s">
        <v>81</v>
      </c>
      <c r="I323" t="s">
        <v>41</v>
      </c>
      <c r="J323" t="s">
        <v>4</v>
      </c>
      <c r="K323">
        <v>60706</v>
      </c>
      <c r="L323" t="s">
        <v>5</v>
      </c>
      <c r="M323" t="s">
        <v>6</v>
      </c>
      <c r="N323" s="2">
        <v>0.82499999999999996</v>
      </c>
      <c r="O323" s="2">
        <v>0.82499999999999996</v>
      </c>
      <c r="P323" s="2">
        <v>0.8354166666666667</v>
      </c>
      <c r="Q323" s="2">
        <v>0.84861111111111109</v>
      </c>
      <c r="R323" s="2">
        <v>0.86458333333333337</v>
      </c>
      <c r="S323" s="2">
        <v>0.87847222222222221</v>
      </c>
      <c r="T323" t="s">
        <v>7</v>
      </c>
      <c r="U323" t="s">
        <v>250</v>
      </c>
      <c r="V323" t="s">
        <v>8</v>
      </c>
      <c r="X323" t="s">
        <v>100</v>
      </c>
      <c r="Y323" t="s">
        <v>217</v>
      </c>
      <c r="Z323">
        <v>2</v>
      </c>
      <c r="AA323">
        <v>2</v>
      </c>
      <c r="AB323" t="s">
        <v>11</v>
      </c>
      <c r="AC323" t="s">
        <v>12</v>
      </c>
      <c r="AD323" t="s">
        <v>36</v>
      </c>
      <c r="AE323" t="s">
        <v>29</v>
      </c>
      <c r="AF323" s="1">
        <v>32556</v>
      </c>
      <c r="AG323">
        <f t="shared" ca="1" si="17"/>
        <v>36</v>
      </c>
    </row>
    <row r="324" spans="1:33" x14ac:dyDescent="0.2">
      <c r="A324" s="1">
        <v>46036</v>
      </c>
      <c r="B324" t="str">
        <f t="shared" si="15"/>
        <v>mercredi</v>
      </c>
      <c r="C324" t="str">
        <f t="shared" si="16"/>
        <v>Jour</v>
      </c>
      <c r="D324">
        <v>1500242</v>
      </c>
      <c r="E324">
        <v>2586916</v>
      </c>
      <c r="F324" t="s">
        <v>15</v>
      </c>
      <c r="G324" t="s">
        <v>16</v>
      </c>
      <c r="H324" t="s">
        <v>81</v>
      </c>
      <c r="I324" t="s">
        <v>37</v>
      </c>
      <c r="J324" t="s">
        <v>4</v>
      </c>
      <c r="K324">
        <v>60709</v>
      </c>
      <c r="L324" t="s">
        <v>5</v>
      </c>
      <c r="M324" t="s">
        <v>6</v>
      </c>
      <c r="N324" s="2">
        <v>0.6875</v>
      </c>
      <c r="O324" s="2">
        <v>0.68888888888888888</v>
      </c>
      <c r="P324" s="2">
        <v>0.69305555555555554</v>
      </c>
      <c r="Q324" s="2">
        <v>0.70416666666666672</v>
      </c>
      <c r="R324" s="2">
        <v>0.71180555555555558</v>
      </c>
      <c r="S324" s="2">
        <v>0.72569444444444442</v>
      </c>
      <c r="T324" t="s">
        <v>43</v>
      </c>
      <c r="U324" t="s">
        <v>32</v>
      </c>
      <c r="V324" t="s">
        <v>86</v>
      </c>
      <c r="X324" t="s">
        <v>33</v>
      </c>
      <c r="Y324" t="s">
        <v>48</v>
      </c>
      <c r="Z324">
        <v>3</v>
      </c>
      <c r="AA324">
        <v>2</v>
      </c>
      <c r="AB324" t="s">
        <v>11</v>
      </c>
      <c r="AC324" t="s">
        <v>12</v>
      </c>
      <c r="AD324" t="s">
        <v>20</v>
      </c>
      <c r="AE324" t="s">
        <v>14</v>
      </c>
      <c r="AF324" s="1">
        <v>28305</v>
      </c>
      <c r="AG324">
        <f t="shared" ca="1" si="17"/>
        <v>48</v>
      </c>
    </row>
    <row r="325" spans="1:33" x14ac:dyDescent="0.2">
      <c r="A325" s="1">
        <v>46036</v>
      </c>
      <c r="B325" t="str">
        <f t="shared" si="15"/>
        <v>mercredi</v>
      </c>
      <c r="C325" t="str">
        <f t="shared" si="16"/>
        <v>Jour</v>
      </c>
      <c r="D325">
        <v>1494196</v>
      </c>
      <c r="E325">
        <v>2586941</v>
      </c>
      <c r="F325" t="s">
        <v>21</v>
      </c>
      <c r="G325" t="s">
        <v>16</v>
      </c>
      <c r="H325" t="s">
        <v>49</v>
      </c>
      <c r="I325" t="s">
        <v>22</v>
      </c>
      <c r="J325" t="s">
        <v>4</v>
      </c>
      <c r="K325">
        <v>60708</v>
      </c>
      <c r="L325" t="s">
        <v>5</v>
      </c>
      <c r="M325" t="s">
        <v>6</v>
      </c>
      <c r="N325" s="2">
        <v>0.75763888888888886</v>
      </c>
      <c r="O325" s="2">
        <v>0.75902777777777775</v>
      </c>
      <c r="P325" s="2">
        <v>0.77152777777777781</v>
      </c>
      <c r="Q325" s="2">
        <v>0.80069444444444449</v>
      </c>
      <c r="R325" s="2">
        <v>0.81319444444444444</v>
      </c>
      <c r="S325" s="2">
        <v>0.82638888888888884</v>
      </c>
      <c r="T325" t="s">
        <v>43</v>
      </c>
      <c r="U325" t="s">
        <v>18</v>
      </c>
      <c r="V325" t="s">
        <v>24</v>
      </c>
      <c r="X325" t="s">
        <v>88</v>
      </c>
      <c r="Y325" t="s">
        <v>89</v>
      </c>
      <c r="Z325">
        <v>3</v>
      </c>
      <c r="AA325">
        <v>2</v>
      </c>
      <c r="AB325" t="s">
        <v>11</v>
      </c>
      <c r="AC325" t="s">
        <v>28</v>
      </c>
      <c r="AD325" t="s">
        <v>44</v>
      </c>
      <c r="AE325" t="s">
        <v>14</v>
      </c>
      <c r="AF325" s="1">
        <v>23396</v>
      </c>
      <c r="AG325">
        <f t="shared" ca="1" si="17"/>
        <v>62</v>
      </c>
    </row>
    <row r="326" spans="1:33" x14ac:dyDescent="0.2">
      <c r="A326" s="1">
        <v>46037</v>
      </c>
      <c r="B326" t="str">
        <f t="shared" si="15"/>
        <v>jeudi</v>
      </c>
      <c r="C326" t="str">
        <f t="shared" si="16"/>
        <v>Nuit</v>
      </c>
      <c r="D326">
        <v>1494199</v>
      </c>
      <c r="E326">
        <v>2587009</v>
      </c>
      <c r="F326" t="s">
        <v>45</v>
      </c>
      <c r="G326" t="s">
        <v>1</v>
      </c>
      <c r="H326" t="s">
        <v>239</v>
      </c>
      <c r="I326" t="s">
        <v>23</v>
      </c>
      <c r="J326" t="s">
        <v>4</v>
      </c>
      <c r="K326">
        <v>60708</v>
      </c>
      <c r="L326" t="s">
        <v>5</v>
      </c>
      <c r="M326" t="s">
        <v>6</v>
      </c>
      <c r="N326" s="2">
        <v>0.97777777777777775</v>
      </c>
      <c r="O326" s="2">
        <v>0.97916666666666663</v>
      </c>
      <c r="P326" s="2">
        <v>0.98124999999999996</v>
      </c>
      <c r="Q326" s="2">
        <v>6.9444444444444447E-4</v>
      </c>
      <c r="R326" s="2">
        <v>3.472222222222222E-3</v>
      </c>
      <c r="S326" s="2">
        <v>3.4722222222222224E-2</v>
      </c>
      <c r="T326" t="s">
        <v>7</v>
      </c>
      <c r="U326" t="s">
        <v>251</v>
      </c>
      <c r="V326" t="s">
        <v>8</v>
      </c>
      <c r="X326" t="s">
        <v>192</v>
      </c>
      <c r="Y326" t="s">
        <v>193</v>
      </c>
      <c r="Z326">
        <v>2</v>
      </c>
      <c r="AA326">
        <v>4</v>
      </c>
      <c r="AB326" t="s">
        <v>11</v>
      </c>
      <c r="AC326" t="s">
        <v>28</v>
      </c>
      <c r="AD326" t="s">
        <v>20</v>
      </c>
      <c r="AE326" t="s">
        <v>29</v>
      </c>
      <c r="AF326" s="1">
        <v>12281</v>
      </c>
      <c r="AG326">
        <f t="shared" ca="1" si="17"/>
        <v>92</v>
      </c>
    </row>
    <row r="327" spans="1:33" x14ac:dyDescent="0.2">
      <c r="A327" s="1">
        <v>46035</v>
      </c>
      <c r="B327" t="str">
        <f t="shared" si="15"/>
        <v>mardi</v>
      </c>
      <c r="C327" t="str">
        <f t="shared" si="16"/>
        <v>Nuit</v>
      </c>
      <c r="D327">
        <v>1494197</v>
      </c>
      <c r="E327">
        <v>2586980</v>
      </c>
      <c r="F327" t="s">
        <v>45</v>
      </c>
      <c r="G327" t="s">
        <v>25</v>
      </c>
      <c r="H327" t="s">
        <v>239</v>
      </c>
      <c r="I327" t="s">
        <v>23</v>
      </c>
      <c r="J327" t="s">
        <v>4</v>
      </c>
      <c r="K327">
        <v>60708</v>
      </c>
      <c r="L327" t="s">
        <v>5</v>
      </c>
      <c r="M327" t="s">
        <v>6</v>
      </c>
      <c r="N327" s="2">
        <v>0.86736111111111114</v>
      </c>
      <c r="O327" s="2">
        <v>0.86875000000000002</v>
      </c>
      <c r="P327" s="2">
        <v>0.88055555555555554</v>
      </c>
      <c r="Q327" s="2">
        <v>0.91041666666666665</v>
      </c>
      <c r="R327" s="2">
        <v>0.92569444444444449</v>
      </c>
      <c r="S327" s="2">
        <v>0.9375</v>
      </c>
      <c r="T327" t="s">
        <v>7</v>
      </c>
      <c r="U327" t="s">
        <v>18</v>
      </c>
      <c r="V327" t="s">
        <v>24</v>
      </c>
      <c r="X327" t="s">
        <v>33</v>
      </c>
      <c r="Y327" t="s">
        <v>123</v>
      </c>
      <c r="Z327">
        <v>3</v>
      </c>
      <c r="AA327">
        <v>2</v>
      </c>
      <c r="AB327" t="s">
        <v>11</v>
      </c>
      <c r="AC327" t="s">
        <v>12</v>
      </c>
      <c r="AD327" t="s">
        <v>113</v>
      </c>
      <c r="AE327" t="s">
        <v>14</v>
      </c>
      <c r="AF327" s="1">
        <v>13434</v>
      </c>
      <c r="AG327">
        <f t="shared" ca="1" si="17"/>
        <v>89</v>
      </c>
    </row>
    <row r="328" spans="1:33" x14ac:dyDescent="0.2">
      <c r="A328" s="1">
        <v>46036</v>
      </c>
      <c r="B328" t="str">
        <f t="shared" si="15"/>
        <v>mercredi</v>
      </c>
      <c r="C328" t="str">
        <f t="shared" si="16"/>
        <v>Nuit</v>
      </c>
      <c r="D328">
        <v>1492823</v>
      </c>
      <c r="E328">
        <v>2586995</v>
      </c>
      <c r="F328" t="s">
        <v>0</v>
      </c>
      <c r="G328" t="s">
        <v>16</v>
      </c>
      <c r="H328" t="s">
        <v>41</v>
      </c>
      <c r="I328" t="s">
        <v>202</v>
      </c>
      <c r="J328" t="s">
        <v>4</v>
      </c>
      <c r="K328">
        <v>60707</v>
      </c>
      <c r="L328" t="s">
        <v>5</v>
      </c>
      <c r="M328" t="s">
        <v>6</v>
      </c>
      <c r="N328" s="2">
        <v>0.90069444444444446</v>
      </c>
      <c r="O328" s="2">
        <v>0.90138888888888891</v>
      </c>
      <c r="P328" s="2">
        <v>0.90972222222222221</v>
      </c>
      <c r="S328" s="2">
        <v>0.92013888888888884</v>
      </c>
      <c r="T328" t="s">
        <v>43</v>
      </c>
      <c r="U328" t="s">
        <v>82</v>
      </c>
      <c r="V328" t="s">
        <v>47</v>
      </c>
      <c r="W328" t="s">
        <v>199</v>
      </c>
      <c r="X328" t="s">
        <v>200</v>
      </c>
      <c r="Y328" t="s">
        <v>51</v>
      </c>
      <c r="Z328">
        <v>4</v>
      </c>
      <c r="AA328">
        <v>1</v>
      </c>
      <c r="AB328" t="s">
        <v>11</v>
      </c>
      <c r="AC328" t="s">
        <v>12</v>
      </c>
      <c r="AD328" t="s">
        <v>20</v>
      </c>
      <c r="AE328" t="s">
        <v>29</v>
      </c>
      <c r="AF328" s="1">
        <v>21612</v>
      </c>
      <c r="AG328">
        <f t="shared" ca="1" si="17"/>
        <v>66</v>
      </c>
    </row>
    <row r="329" spans="1:33" x14ac:dyDescent="0.2">
      <c r="A329" s="1">
        <v>46035</v>
      </c>
      <c r="B329" t="str">
        <f t="shared" si="15"/>
        <v>mardi</v>
      </c>
      <c r="C329" t="str">
        <f t="shared" si="16"/>
        <v>Jour</v>
      </c>
      <c r="D329">
        <v>1492814</v>
      </c>
      <c r="E329">
        <v>2586631</v>
      </c>
      <c r="F329" t="s">
        <v>15</v>
      </c>
      <c r="G329" t="s">
        <v>1</v>
      </c>
      <c r="H329" t="s">
        <v>41</v>
      </c>
      <c r="I329" t="s">
        <v>57</v>
      </c>
      <c r="J329" t="s">
        <v>256</v>
      </c>
      <c r="K329">
        <v>60707</v>
      </c>
      <c r="L329" t="s">
        <v>5</v>
      </c>
      <c r="M329" t="s">
        <v>6</v>
      </c>
      <c r="N329" s="2">
        <v>0.63124999999999998</v>
      </c>
      <c r="O329" s="2">
        <v>0.63263888888888886</v>
      </c>
      <c r="P329" s="2">
        <v>0.63749999999999996</v>
      </c>
      <c r="Q329" s="2">
        <v>0.65625</v>
      </c>
      <c r="R329" s="2">
        <v>0.65763888888888888</v>
      </c>
      <c r="S329" s="2">
        <v>0.67361111111111116</v>
      </c>
      <c r="T329" t="s">
        <v>141</v>
      </c>
      <c r="U329" t="s">
        <v>32</v>
      </c>
      <c r="V329" t="s">
        <v>141</v>
      </c>
      <c r="X329" t="s">
        <v>190</v>
      </c>
      <c r="Y329" t="s">
        <v>191</v>
      </c>
      <c r="Z329">
        <v>1</v>
      </c>
      <c r="AA329">
        <v>3</v>
      </c>
      <c r="AB329" t="s">
        <v>11</v>
      </c>
      <c r="AC329" t="s">
        <v>12</v>
      </c>
      <c r="AD329" t="s">
        <v>212</v>
      </c>
      <c r="AE329" t="s">
        <v>29</v>
      </c>
      <c r="AF329" s="1">
        <v>12273</v>
      </c>
      <c r="AG329">
        <f t="shared" ca="1" si="17"/>
        <v>92</v>
      </c>
    </row>
    <row r="330" spans="1:33" x14ac:dyDescent="0.2">
      <c r="A330" s="1">
        <v>46035</v>
      </c>
      <c r="B330" t="str">
        <f t="shared" si="15"/>
        <v>mardi</v>
      </c>
      <c r="C330" t="str">
        <f t="shared" si="16"/>
        <v>Jour</v>
      </c>
      <c r="D330">
        <v>1492812</v>
      </c>
      <c r="E330">
        <v>2586577</v>
      </c>
      <c r="F330" t="s">
        <v>15</v>
      </c>
      <c r="G330" t="s">
        <v>16</v>
      </c>
      <c r="H330" t="s">
        <v>41</v>
      </c>
      <c r="I330" t="s">
        <v>57</v>
      </c>
      <c r="J330" t="s">
        <v>4</v>
      </c>
      <c r="K330">
        <v>60707</v>
      </c>
      <c r="L330" t="s">
        <v>5</v>
      </c>
      <c r="M330" t="s">
        <v>6</v>
      </c>
      <c r="N330" s="2">
        <v>0.48749999999999999</v>
      </c>
      <c r="O330" s="2">
        <v>0.48819444444444443</v>
      </c>
      <c r="P330" s="2">
        <v>0.50208333333333333</v>
      </c>
      <c r="Q330" s="2">
        <v>0.51597222222222228</v>
      </c>
      <c r="R330" s="2">
        <v>0.52569444444444446</v>
      </c>
      <c r="S330" s="2">
        <v>0.55625000000000002</v>
      </c>
      <c r="T330" t="s">
        <v>7</v>
      </c>
      <c r="U330" t="s">
        <v>102</v>
      </c>
      <c r="V330" t="s">
        <v>8</v>
      </c>
      <c r="X330" t="s">
        <v>214</v>
      </c>
      <c r="Y330" t="s">
        <v>215</v>
      </c>
      <c r="Z330">
        <v>1</v>
      </c>
      <c r="AA330">
        <v>4</v>
      </c>
      <c r="AB330" t="s">
        <v>11</v>
      </c>
      <c r="AC330" t="s">
        <v>12</v>
      </c>
      <c r="AD330" t="s">
        <v>20</v>
      </c>
      <c r="AE330" t="s">
        <v>29</v>
      </c>
      <c r="AF330" s="1">
        <v>21935</v>
      </c>
      <c r="AG330">
        <f t="shared" ca="1" si="17"/>
        <v>66</v>
      </c>
    </row>
    <row r="331" spans="1:33" x14ac:dyDescent="0.2">
      <c r="A331" s="1">
        <v>46036</v>
      </c>
      <c r="B331" t="str">
        <f t="shared" si="15"/>
        <v>mercredi</v>
      </c>
      <c r="C331" t="str">
        <f t="shared" si="16"/>
        <v>Nuit</v>
      </c>
      <c r="D331">
        <v>1492821</v>
      </c>
      <c r="E331">
        <v>2586789</v>
      </c>
      <c r="F331" t="s">
        <v>0</v>
      </c>
      <c r="G331" t="s">
        <v>92</v>
      </c>
      <c r="H331" t="s">
        <v>202</v>
      </c>
      <c r="I331" t="s">
        <v>103</v>
      </c>
      <c r="J331" t="s">
        <v>4</v>
      </c>
      <c r="K331">
        <v>60707</v>
      </c>
      <c r="L331" t="s">
        <v>61</v>
      </c>
      <c r="M331" t="s">
        <v>195</v>
      </c>
      <c r="N331" s="2">
        <v>0.2638888888888889</v>
      </c>
      <c r="O331" s="2">
        <v>0.26527777777777778</v>
      </c>
      <c r="P331" s="2">
        <v>0.26944444444444443</v>
      </c>
      <c r="S331" s="2">
        <v>0.2986111111111111</v>
      </c>
      <c r="T331" t="s">
        <v>8</v>
      </c>
      <c r="U331" t="s">
        <v>32</v>
      </c>
      <c r="V331" t="s">
        <v>47</v>
      </c>
      <c r="W331" t="s">
        <v>216</v>
      </c>
      <c r="X331" t="s">
        <v>100</v>
      </c>
      <c r="Y331" t="s">
        <v>217</v>
      </c>
      <c r="Z331">
        <v>1</v>
      </c>
      <c r="AA331">
        <v>5</v>
      </c>
      <c r="AB331" t="s">
        <v>11</v>
      </c>
      <c r="AC331" t="s">
        <v>12</v>
      </c>
      <c r="AD331" t="s">
        <v>20</v>
      </c>
      <c r="AE331" t="s">
        <v>14</v>
      </c>
      <c r="AF331" s="1">
        <v>15437</v>
      </c>
      <c r="AG331">
        <f t="shared" ca="1" si="17"/>
        <v>83</v>
      </c>
    </row>
    <row r="332" spans="1:33" x14ac:dyDescent="0.2">
      <c r="A332" s="1">
        <v>46036</v>
      </c>
      <c r="B332" t="str">
        <f t="shared" si="15"/>
        <v>mercredi</v>
      </c>
      <c r="C332" t="str">
        <f t="shared" si="16"/>
        <v>Jour</v>
      </c>
      <c r="D332">
        <v>1500241</v>
      </c>
      <c r="E332">
        <v>2586887</v>
      </c>
      <c r="F332" t="s">
        <v>15</v>
      </c>
      <c r="G332" t="s">
        <v>1</v>
      </c>
      <c r="H332" t="s">
        <v>37</v>
      </c>
      <c r="I332" t="s">
        <v>81</v>
      </c>
      <c r="J332" t="s">
        <v>256</v>
      </c>
      <c r="K332">
        <v>60709</v>
      </c>
      <c r="L332" t="s">
        <v>5</v>
      </c>
      <c r="M332" t="s">
        <v>6</v>
      </c>
      <c r="N332" s="2">
        <v>0.59444444444444444</v>
      </c>
      <c r="O332" s="2">
        <v>0.59583333333333333</v>
      </c>
      <c r="P332" s="2">
        <v>0.59930555555555554</v>
      </c>
      <c r="Q332" s="2">
        <v>0.61805555555555558</v>
      </c>
      <c r="R332" s="2">
        <v>0.62569444444444444</v>
      </c>
      <c r="S332" s="2">
        <v>0.65625</v>
      </c>
      <c r="T332" t="s">
        <v>8</v>
      </c>
      <c r="U332" t="s">
        <v>32</v>
      </c>
      <c r="V332" t="s">
        <v>8</v>
      </c>
      <c r="X332" t="s">
        <v>100</v>
      </c>
      <c r="Y332" t="s">
        <v>217</v>
      </c>
      <c r="Z332">
        <v>1</v>
      </c>
      <c r="AA332">
        <v>5</v>
      </c>
      <c r="AB332" t="s">
        <v>11</v>
      </c>
      <c r="AC332" t="s">
        <v>12</v>
      </c>
      <c r="AD332" t="s">
        <v>20</v>
      </c>
      <c r="AE332" t="s">
        <v>14</v>
      </c>
      <c r="AF332" s="1">
        <v>15437</v>
      </c>
      <c r="AG332">
        <f t="shared" ca="1" si="17"/>
        <v>83</v>
      </c>
    </row>
    <row r="333" spans="1:33" x14ac:dyDescent="0.2">
      <c r="A333" s="1">
        <v>46036</v>
      </c>
      <c r="B333" t="str">
        <f t="shared" si="15"/>
        <v>mercredi</v>
      </c>
      <c r="C333" t="str">
        <f t="shared" si="16"/>
        <v>Jour</v>
      </c>
      <c r="D333">
        <v>1500243</v>
      </c>
      <c r="E333">
        <v>2586939</v>
      </c>
      <c r="F333" t="s">
        <v>15</v>
      </c>
      <c r="G333" t="s">
        <v>1</v>
      </c>
      <c r="H333" t="s">
        <v>37</v>
      </c>
      <c r="I333" t="s">
        <v>81</v>
      </c>
      <c r="J333" t="s">
        <v>256</v>
      </c>
      <c r="K333">
        <v>60709</v>
      </c>
      <c r="L333" t="s">
        <v>5</v>
      </c>
      <c r="M333" t="s">
        <v>6</v>
      </c>
      <c r="N333" s="2">
        <v>0.72847222222222219</v>
      </c>
      <c r="O333" s="2">
        <v>0.72847222222222219</v>
      </c>
      <c r="P333" s="2">
        <v>0.73611111111111116</v>
      </c>
      <c r="Q333" s="2">
        <v>0.74652777777777779</v>
      </c>
      <c r="R333" s="2">
        <v>0.75694444444444442</v>
      </c>
      <c r="S333" s="2">
        <v>0.77986111111111112</v>
      </c>
      <c r="T333" t="s">
        <v>64</v>
      </c>
      <c r="U333" t="s">
        <v>65</v>
      </c>
      <c r="V333" t="s">
        <v>8</v>
      </c>
      <c r="X333" t="s">
        <v>231</v>
      </c>
      <c r="Y333" t="s">
        <v>232</v>
      </c>
      <c r="Z333">
        <v>2</v>
      </c>
      <c r="AA333">
        <v>2</v>
      </c>
      <c r="AB333" t="s">
        <v>11</v>
      </c>
      <c r="AC333" t="s">
        <v>12</v>
      </c>
      <c r="AD333" t="s">
        <v>233</v>
      </c>
      <c r="AE333" t="s">
        <v>29</v>
      </c>
      <c r="AF333" s="1">
        <v>30689</v>
      </c>
      <c r="AG333">
        <f t="shared" ca="1" si="17"/>
        <v>42</v>
      </c>
    </row>
    <row r="334" spans="1:33" x14ac:dyDescent="0.2">
      <c r="A334" s="1">
        <v>46036</v>
      </c>
      <c r="B334" t="str">
        <f t="shared" si="15"/>
        <v>mercredi</v>
      </c>
      <c r="C334" t="str">
        <f t="shared" si="16"/>
        <v>Jour</v>
      </c>
      <c r="D334">
        <v>1500239</v>
      </c>
      <c r="E334">
        <v>2586835</v>
      </c>
      <c r="F334" t="s">
        <v>15</v>
      </c>
      <c r="G334" t="s">
        <v>1</v>
      </c>
      <c r="H334" t="s">
        <v>37</v>
      </c>
      <c r="I334" t="s">
        <v>81</v>
      </c>
      <c r="J334" t="s">
        <v>256</v>
      </c>
      <c r="K334">
        <v>60709</v>
      </c>
      <c r="L334" t="s">
        <v>5</v>
      </c>
      <c r="M334" t="s">
        <v>6</v>
      </c>
      <c r="N334" s="2">
        <v>0.43819444444444444</v>
      </c>
      <c r="O334" s="2">
        <v>0.43958333333333333</v>
      </c>
      <c r="P334" s="2">
        <v>0.44236111111111109</v>
      </c>
      <c r="Q334" s="2">
        <v>0.44722222222222224</v>
      </c>
      <c r="R334" s="2">
        <v>0.45416666666666666</v>
      </c>
      <c r="S334" s="2">
        <v>0.48819444444444443</v>
      </c>
      <c r="T334" t="s">
        <v>52</v>
      </c>
      <c r="U334" t="s">
        <v>32</v>
      </c>
      <c r="V334" t="s">
        <v>8</v>
      </c>
      <c r="X334" t="s">
        <v>66</v>
      </c>
      <c r="Y334" t="s">
        <v>85</v>
      </c>
      <c r="Z334">
        <v>2</v>
      </c>
      <c r="AA334">
        <v>4</v>
      </c>
      <c r="AB334" t="s">
        <v>11</v>
      </c>
      <c r="AC334" t="s">
        <v>12</v>
      </c>
      <c r="AD334" t="s">
        <v>113</v>
      </c>
      <c r="AE334" t="s">
        <v>14</v>
      </c>
      <c r="AF334" s="1">
        <v>36587</v>
      </c>
      <c r="AG334">
        <f t="shared" ca="1" si="17"/>
        <v>25</v>
      </c>
    </row>
    <row r="335" spans="1:33" x14ac:dyDescent="0.2">
      <c r="A335" s="1">
        <v>46036</v>
      </c>
      <c r="B335" t="str">
        <f t="shared" si="15"/>
        <v>mercredi</v>
      </c>
      <c r="C335" t="str">
        <f t="shared" si="16"/>
        <v>Jour</v>
      </c>
      <c r="D335">
        <v>1500152</v>
      </c>
      <c r="E335">
        <v>1500152</v>
      </c>
      <c r="F335" t="s">
        <v>56</v>
      </c>
      <c r="G335" t="s">
        <v>1</v>
      </c>
      <c r="H335" t="s">
        <v>69</v>
      </c>
      <c r="I335" t="s">
        <v>42</v>
      </c>
      <c r="J335" t="s">
        <v>4</v>
      </c>
      <c r="K335">
        <v>60704</v>
      </c>
      <c r="L335" t="s">
        <v>5</v>
      </c>
      <c r="M335" t="s">
        <v>6</v>
      </c>
      <c r="N335" s="2">
        <v>0.46736111111111112</v>
      </c>
      <c r="O335" s="2">
        <v>0.46875</v>
      </c>
      <c r="P335" s="2">
        <v>0.47152777777777777</v>
      </c>
      <c r="Q335" s="2">
        <v>0.49583333333333335</v>
      </c>
      <c r="R335" s="2">
        <v>0.50277777777777777</v>
      </c>
      <c r="S335" s="2">
        <v>0.51944444444444449</v>
      </c>
      <c r="T335" t="s">
        <v>7</v>
      </c>
      <c r="U335" t="s">
        <v>251</v>
      </c>
      <c r="V335" t="s">
        <v>8</v>
      </c>
      <c r="X335" t="s">
        <v>252</v>
      </c>
      <c r="Y335" t="s">
        <v>48</v>
      </c>
      <c r="Z335">
        <v>3</v>
      </c>
      <c r="AA335">
        <v>3</v>
      </c>
      <c r="AB335" t="s">
        <v>11</v>
      </c>
      <c r="AC335" t="s">
        <v>12</v>
      </c>
      <c r="AD335" t="s">
        <v>20</v>
      </c>
      <c r="AE335" t="s">
        <v>29</v>
      </c>
      <c r="AF335" s="1">
        <v>13686</v>
      </c>
      <c r="AG335">
        <f t="shared" ca="1" si="17"/>
        <v>88</v>
      </c>
    </row>
    <row r="336" spans="1:33" x14ac:dyDescent="0.2">
      <c r="A336" s="1">
        <v>46035</v>
      </c>
      <c r="B336" t="str">
        <f t="shared" si="15"/>
        <v>mardi</v>
      </c>
      <c r="C336" t="str">
        <f t="shared" si="16"/>
        <v>Jour</v>
      </c>
      <c r="D336">
        <v>1500399</v>
      </c>
      <c r="E336">
        <v>2586649</v>
      </c>
      <c r="F336" t="s">
        <v>25</v>
      </c>
      <c r="G336" t="s">
        <v>25</v>
      </c>
      <c r="H336" t="s">
        <v>69</v>
      </c>
      <c r="I336" t="s">
        <v>26</v>
      </c>
      <c r="J336" t="s">
        <v>4</v>
      </c>
      <c r="K336">
        <v>60704</v>
      </c>
      <c r="L336" t="s">
        <v>5</v>
      </c>
      <c r="M336" t="s">
        <v>6</v>
      </c>
      <c r="N336" s="2">
        <v>0.68263888888888891</v>
      </c>
      <c r="O336" s="2">
        <v>0.68263888888888891</v>
      </c>
      <c r="P336" s="2">
        <v>0.68958333333333333</v>
      </c>
      <c r="Q336" s="2">
        <v>0.70763888888888893</v>
      </c>
      <c r="R336" s="2">
        <v>0.71875</v>
      </c>
      <c r="S336" s="2">
        <v>0.75</v>
      </c>
      <c r="T336" t="s">
        <v>38</v>
      </c>
      <c r="U336" t="s">
        <v>251</v>
      </c>
      <c r="V336" t="s">
        <v>8</v>
      </c>
      <c r="X336" t="s">
        <v>74</v>
      </c>
      <c r="Y336" t="s">
        <v>75</v>
      </c>
      <c r="Z336">
        <v>3</v>
      </c>
      <c r="AA336">
        <v>3</v>
      </c>
      <c r="AB336" t="s">
        <v>11</v>
      </c>
      <c r="AC336" t="s">
        <v>28</v>
      </c>
      <c r="AD336" t="s">
        <v>20</v>
      </c>
      <c r="AE336" t="s">
        <v>14</v>
      </c>
      <c r="AF336" s="1">
        <v>11788</v>
      </c>
      <c r="AG336">
        <f t="shared" ca="1" si="17"/>
        <v>93</v>
      </c>
    </row>
    <row r="337" spans="1:33" x14ac:dyDescent="0.2">
      <c r="A337" s="1">
        <v>46036</v>
      </c>
      <c r="B337" t="str">
        <f t="shared" si="15"/>
        <v>mercredi</v>
      </c>
      <c r="C337" t="str">
        <f t="shared" si="16"/>
        <v>Jour</v>
      </c>
      <c r="D337">
        <v>1500240</v>
      </c>
      <c r="E337">
        <v>2586859</v>
      </c>
      <c r="F337" t="s">
        <v>15</v>
      </c>
      <c r="G337" t="s">
        <v>1</v>
      </c>
      <c r="H337" t="s">
        <v>81</v>
      </c>
      <c r="I337" t="s">
        <v>37</v>
      </c>
      <c r="J337" t="s">
        <v>256</v>
      </c>
      <c r="K337">
        <v>60709</v>
      </c>
      <c r="L337" t="s">
        <v>61</v>
      </c>
      <c r="M337" t="s">
        <v>6</v>
      </c>
      <c r="N337" s="2">
        <v>0.49722222222222223</v>
      </c>
      <c r="O337" s="2">
        <v>0.49791666666666667</v>
      </c>
      <c r="P337" s="2">
        <v>0.49930555555555556</v>
      </c>
      <c r="Q337" s="2">
        <v>0.51180555555555551</v>
      </c>
      <c r="R337" s="2">
        <v>0.51597222222222228</v>
      </c>
      <c r="S337" s="2">
        <v>0.54166666666666663</v>
      </c>
      <c r="T337" t="s">
        <v>86</v>
      </c>
      <c r="U337" t="s">
        <v>265</v>
      </c>
      <c r="V337" t="s">
        <v>8</v>
      </c>
      <c r="X337" t="s">
        <v>231</v>
      </c>
      <c r="Y337" t="s">
        <v>232</v>
      </c>
      <c r="Z337">
        <v>1</v>
      </c>
      <c r="AA337">
        <v>4</v>
      </c>
      <c r="AB337" t="s">
        <v>11</v>
      </c>
      <c r="AC337" t="s">
        <v>12</v>
      </c>
      <c r="AD337" t="s">
        <v>233</v>
      </c>
      <c r="AE337" t="s">
        <v>29</v>
      </c>
      <c r="AF337" s="1">
        <v>24638</v>
      </c>
      <c r="AG337">
        <f t="shared" ca="1" si="17"/>
        <v>58</v>
      </c>
    </row>
    <row r="338" spans="1:33" x14ac:dyDescent="0.2">
      <c r="A338" s="1">
        <v>46036</v>
      </c>
      <c r="B338" t="str">
        <f t="shared" si="15"/>
        <v>mercredi</v>
      </c>
      <c r="C338" t="str">
        <f t="shared" si="16"/>
        <v>Jour</v>
      </c>
      <c r="D338">
        <v>1494194</v>
      </c>
      <c r="E338">
        <v>2586883</v>
      </c>
      <c r="F338" t="s">
        <v>21</v>
      </c>
      <c r="G338" t="s">
        <v>16</v>
      </c>
      <c r="H338" t="s">
        <v>49</v>
      </c>
      <c r="I338" t="s">
        <v>22</v>
      </c>
      <c r="J338" t="s">
        <v>4</v>
      </c>
      <c r="K338">
        <v>60708</v>
      </c>
      <c r="L338" t="s">
        <v>5</v>
      </c>
      <c r="M338" t="s">
        <v>6</v>
      </c>
      <c r="N338" s="2">
        <v>0.5756944444444444</v>
      </c>
      <c r="O338" s="2">
        <v>0.57638888888888884</v>
      </c>
      <c r="P338" s="2">
        <v>0.58958333333333335</v>
      </c>
      <c r="S338" s="2">
        <v>0.6118055555555556</v>
      </c>
      <c r="T338" t="s">
        <v>7</v>
      </c>
      <c r="U338" t="s">
        <v>18</v>
      </c>
      <c r="V338" t="s">
        <v>47</v>
      </c>
      <c r="W338" t="s">
        <v>83</v>
      </c>
      <c r="X338" t="s">
        <v>33</v>
      </c>
      <c r="Y338" t="s">
        <v>201</v>
      </c>
      <c r="Z338">
        <v>4</v>
      </c>
      <c r="AA338">
        <v>0</v>
      </c>
      <c r="AB338" t="s">
        <v>93</v>
      </c>
      <c r="AC338" t="s">
        <v>12</v>
      </c>
      <c r="AD338" t="s">
        <v>20</v>
      </c>
      <c r="AE338" t="s">
        <v>14</v>
      </c>
      <c r="AF338" s="1">
        <v>15949</v>
      </c>
      <c r="AG338">
        <f t="shared" ca="1" si="17"/>
        <v>82</v>
      </c>
    </row>
    <row r="339" spans="1:33" x14ac:dyDescent="0.2">
      <c r="A339" s="1">
        <v>46036</v>
      </c>
      <c r="B339" t="str">
        <f t="shared" si="15"/>
        <v>mercredi</v>
      </c>
      <c r="C339" t="str">
        <f t="shared" si="16"/>
        <v>Jour</v>
      </c>
      <c r="D339">
        <v>1492822</v>
      </c>
      <c r="E339">
        <v>2586821</v>
      </c>
      <c r="F339" t="s">
        <v>25</v>
      </c>
      <c r="G339" t="s">
        <v>25</v>
      </c>
      <c r="H339" t="s">
        <v>78</v>
      </c>
      <c r="I339" t="s">
        <v>115</v>
      </c>
      <c r="J339" t="s">
        <v>4</v>
      </c>
      <c r="K339">
        <v>60707</v>
      </c>
      <c r="L339" t="s">
        <v>5</v>
      </c>
      <c r="M339" t="s">
        <v>6</v>
      </c>
      <c r="N339" s="2">
        <v>0.43958333333333333</v>
      </c>
      <c r="O339" s="2">
        <v>0.44374999999999998</v>
      </c>
      <c r="P339" s="2">
        <v>0.46597222222222223</v>
      </c>
      <c r="Q339" s="2">
        <v>0.49166666666666664</v>
      </c>
      <c r="R339" s="2">
        <v>0.5180555555555556</v>
      </c>
      <c r="S339" s="2">
        <v>0.54861111111111116</v>
      </c>
      <c r="T339" t="s">
        <v>7</v>
      </c>
      <c r="U339" t="s">
        <v>104</v>
      </c>
      <c r="V339" t="s">
        <v>8</v>
      </c>
      <c r="X339" t="s">
        <v>33</v>
      </c>
      <c r="Y339" t="s">
        <v>194</v>
      </c>
      <c r="Z339">
        <v>3</v>
      </c>
      <c r="AA339">
        <v>3</v>
      </c>
      <c r="AB339" t="s">
        <v>11</v>
      </c>
      <c r="AC339" t="s">
        <v>12</v>
      </c>
      <c r="AD339" t="s">
        <v>113</v>
      </c>
      <c r="AE339" t="s">
        <v>29</v>
      </c>
      <c r="AF339" s="1">
        <v>13813</v>
      </c>
      <c r="AG339">
        <f t="shared" ca="1" si="17"/>
        <v>88</v>
      </c>
    </row>
    <row r="340" spans="1:33" x14ac:dyDescent="0.2">
      <c r="A340" s="1">
        <v>46028</v>
      </c>
      <c r="B340" t="str">
        <f t="shared" si="15"/>
        <v>mardi</v>
      </c>
      <c r="C340" t="str">
        <f t="shared" si="16"/>
        <v>Jour</v>
      </c>
      <c r="D340">
        <v>1500346</v>
      </c>
      <c r="E340">
        <v>2584854</v>
      </c>
      <c r="F340" t="s">
        <v>0</v>
      </c>
      <c r="G340" t="s">
        <v>1</v>
      </c>
      <c r="H340" t="s">
        <v>81</v>
      </c>
      <c r="I340" t="s">
        <v>239</v>
      </c>
      <c r="J340" t="s">
        <v>4</v>
      </c>
      <c r="K340">
        <v>60709</v>
      </c>
      <c r="L340" t="s">
        <v>5</v>
      </c>
      <c r="M340" t="s">
        <v>6</v>
      </c>
      <c r="N340" s="2">
        <v>0.80902777777777779</v>
      </c>
      <c r="O340" s="2">
        <v>0.81041666666666667</v>
      </c>
      <c r="P340" s="2">
        <v>0.81388888888888888</v>
      </c>
      <c r="Q340" s="2">
        <v>0.82708333333333328</v>
      </c>
      <c r="R340" s="2">
        <v>0.83819444444444446</v>
      </c>
      <c r="S340" s="2">
        <v>0.85416666666666663</v>
      </c>
      <c r="T340" t="s">
        <v>7</v>
      </c>
      <c r="U340" t="s">
        <v>32</v>
      </c>
      <c r="V340" t="s">
        <v>8</v>
      </c>
      <c r="X340" t="s">
        <v>9</v>
      </c>
      <c r="Y340" t="s">
        <v>80</v>
      </c>
      <c r="Z340">
        <v>2</v>
      </c>
      <c r="AA340">
        <v>2</v>
      </c>
      <c r="AB340" t="s">
        <v>11</v>
      </c>
      <c r="AC340" t="s">
        <v>12</v>
      </c>
      <c r="AD340" t="s">
        <v>20</v>
      </c>
      <c r="AE340" t="s">
        <v>14</v>
      </c>
      <c r="AF340" s="1">
        <v>17443</v>
      </c>
      <c r="AG340">
        <f t="shared" ca="1" si="17"/>
        <v>78</v>
      </c>
    </row>
    <row r="341" spans="1:33" x14ac:dyDescent="0.2">
      <c r="A341" s="1">
        <v>46034</v>
      </c>
      <c r="B341" t="str">
        <f t="shared" si="15"/>
        <v>lundi</v>
      </c>
      <c r="C341" t="str">
        <f t="shared" si="16"/>
        <v>Jour</v>
      </c>
      <c r="D341">
        <v>1500226</v>
      </c>
      <c r="E341">
        <v>2586309</v>
      </c>
      <c r="F341" t="s">
        <v>15</v>
      </c>
      <c r="G341" t="s">
        <v>1</v>
      </c>
      <c r="H341" t="s">
        <v>55</v>
      </c>
      <c r="I341" t="s">
        <v>131</v>
      </c>
      <c r="J341" t="s">
        <v>4</v>
      </c>
      <c r="K341">
        <v>60709</v>
      </c>
      <c r="L341" t="s">
        <v>5</v>
      </c>
      <c r="M341" t="s">
        <v>6</v>
      </c>
      <c r="N341" s="2">
        <v>0.60347222222222219</v>
      </c>
      <c r="O341" s="2">
        <v>0.60486111111111107</v>
      </c>
      <c r="P341" s="2">
        <v>0.60763888888888884</v>
      </c>
      <c r="Q341" s="2">
        <v>0.62638888888888888</v>
      </c>
      <c r="R341" s="2">
        <v>0.63124999999999998</v>
      </c>
      <c r="S341" s="2">
        <v>0.64930555555555558</v>
      </c>
      <c r="T341" t="s">
        <v>7</v>
      </c>
      <c r="U341" t="s">
        <v>263</v>
      </c>
      <c r="V341" t="s">
        <v>24</v>
      </c>
      <c r="X341" t="s">
        <v>190</v>
      </c>
      <c r="Y341" t="s">
        <v>191</v>
      </c>
      <c r="Z341">
        <v>2</v>
      </c>
      <c r="AA341">
        <v>4</v>
      </c>
      <c r="AB341" t="s">
        <v>11</v>
      </c>
      <c r="AC341" t="s">
        <v>12</v>
      </c>
      <c r="AD341" t="s">
        <v>212</v>
      </c>
      <c r="AE341" t="s">
        <v>14</v>
      </c>
      <c r="AF341" s="1">
        <v>17272</v>
      </c>
      <c r="AG341">
        <f t="shared" ca="1" si="17"/>
        <v>78</v>
      </c>
    </row>
    <row r="342" spans="1:33" x14ac:dyDescent="0.2">
      <c r="A342" s="1">
        <v>46036</v>
      </c>
      <c r="B342" t="str">
        <f t="shared" si="15"/>
        <v>mercredi</v>
      </c>
      <c r="C342" t="str">
        <f t="shared" si="16"/>
        <v>Jour</v>
      </c>
      <c r="D342">
        <v>1500238</v>
      </c>
      <c r="E342">
        <v>2586801</v>
      </c>
      <c r="F342" t="s">
        <v>15</v>
      </c>
      <c r="G342" t="s">
        <v>1</v>
      </c>
      <c r="H342" t="s">
        <v>81</v>
      </c>
      <c r="I342" t="s">
        <v>37</v>
      </c>
      <c r="J342" t="s">
        <v>256</v>
      </c>
      <c r="K342">
        <v>60709</v>
      </c>
      <c r="L342" t="s">
        <v>61</v>
      </c>
      <c r="M342" t="s">
        <v>204</v>
      </c>
      <c r="N342" s="2">
        <v>0.35</v>
      </c>
      <c r="O342" s="2">
        <v>0.35138888888888886</v>
      </c>
      <c r="P342" s="2">
        <v>0.35555555555555557</v>
      </c>
      <c r="Q342" s="2">
        <v>0.37916666666666665</v>
      </c>
      <c r="R342" s="2">
        <v>0.3840277777777778</v>
      </c>
      <c r="S342" s="2">
        <v>0.38541666666666669</v>
      </c>
      <c r="T342" t="s">
        <v>7</v>
      </c>
      <c r="U342" t="s">
        <v>65</v>
      </c>
      <c r="V342" t="s">
        <v>8</v>
      </c>
      <c r="X342" t="s">
        <v>190</v>
      </c>
      <c r="Y342" t="s">
        <v>191</v>
      </c>
      <c r="Z342">
        <v>2</v>
      </c>
      <c r="AA342">
        <v>3</v>
      </c>
      <c r="AB342" t="s">
        <v>11</v>
      </c>
      <c r="AC342" t="s">
        <v>12</v>
      </c>
      <c r="AD342" t="s">
        <v>20</v>
      </c>
      <c r="AE342" t="s">
        <v>14</v>
      </c>
      <c r="AF342" s="1">
        <v>11127</v>
      </c>
      <c r="AG342">
        <f t="shared" ca="1" si="17"/>
        <v>95</v>
      </c>
    </row>
    <row r="343" spans="1:33" x14ac:dyDescent="0.2">
      <c r="A343" s="1">
        <v>46035</v>
      </c>
      <c r="B343" t="str">
        <f t="shared" si="15"/>
        <v>mardi</v>
      </c>
      <c r="C343" t="str">
        <f t="shared" si="16"/>
        <v>Nuit</v>
      </c>
      <c r="D343">
        <v>1500234</v>
      </c>
      <c r="E343">
        <v>2586724</v>
      </c>
      <c r="F343" t="s">
        <v>117</v>
      </c>
      <c r="G343" t="s">
        <v>25</v>
      </c>
      <c r="H343" t="s">
        <v>55</v>
      </c>
      <c r="I343" t="s">
        <v>189</v>
      </c>
      <c r="J343" t="s">
        <v>4</v>
      </c>
      <c r="K343">
        <v>60709</v>
      </c>
      <c r="L343" t="s">
        <v>5</v>
      </c>
      <c r="M343" t="s">
        <v>6</v>
      </c>
      <c r="N343" s="2">
        <v>0.8520833333333333</v>
      </c>
      <c r="O343" s="2">
        <v>0.85972222222222228</v>
      </c>
      <c r="P343" s="2">
        <v>0.8666666666666667</v>
      </c>
      <c r="Q343" s="2">
        <v>0.875</v>
      </c>
      <c r="R343" s="2">
        <v>0.88124999999999998</v>
      </c>
      <c r="S343" s="2">
        <v>0.89930555555555558</v>
      </c>
      <c r="T343" t="s">
        <v>7</v>
      </c>
      <c r="U343" t="s">
        <v>251</v>
      </c>
      <c r="V343" t="s">
        <v>8</v>
      </c>
      <c r="X343" t="s">
        <v>19</v>
      </c>
      <c r="Y343" t="s">
        <v>236</v>
      </c>
      <c r="Z343">
        <v>3</v>
      </c>
      <c r="AA343">
        <v>3</v>
      </c>
      <c r="AB343" t="s">
        <v>11</v>
      </c>
      <c r="AC343" t="s">
        <v>12</v>
      </c>
      <c r="AD343" t="s">
        <v>20</v>
      </c>
      <c r="AF343" s="1">
        <v>24318</v>
      </c>
      <c r="AG343">
        <f t="shared" ca="1" si="17"/>
        <v>59</v>
      </c>
    </row>
    <row r="344" spans="1:33" x14ac:dyDescent="0.2">
      <c r="A344" s="1">
        <v>46036</v>
      </c>
      <c r="B344" t="str">
        <f t="shared" si="15"/>
        <v>mercredi</v>
      </c>
      <c r="C344" t="str">
        <f t="shared" si="16"/>
        <v>Jour</v>
      </c>
      <c r="D344">
        <v>1494192</v>
      </c>
      <c r="E344">
        <v>2586795</v>
      </c>
      <c r="F344" t="s">
        <v>21</v>
      </c>
      <c r="G344" t="s">
        <v>1</v>
      </c>
      <c r="H344" t="s">
        <v>49</v>
      </c>
      <c r="I344" t="s">
        <v>22</v>
      </c>
      <c r="J344" t="s">
        <v>4</v>
      </c>
      <c r="K344">
        <v>60708</v>
      </c>
      <c r="L344" t="s">
        <v>5</v>
      </c>
      <c r="M344" t="s">
        <v>6</v>
      </c>
      <c r="N344" s="2">
        <v>0.30833333333333335</v>
      </c>
      <c r="O344" s="2">
        <v>0.31041666666666667</v>
      </c>
      <c r="P344" s="2">
        <v>0.31388888888888888</v>
      </c>
      <c r="Q344" s="2">
        <v>0.33958333333333335</v>
      </c>
      <c r="R344" s="2">
        <v>0.34861111111111109</v>
      </c>
      <c r="S344" s="2">
        <v>0.38194444444444442</v>
      </c>
      <c r="T344" t="s">
        <v>7</v>
      </c>
      <c r="U344" t="s">
        <v>251</v>
      </c>
      <c r="V344" t="s">
        <v>8</v>
      </c>
      <c r="X344" t="s">
        <v>252</v>
      </c>
      <c r="Y344" t="s">
        <v>48</v>
      </c>
      <c r="Z344">
        <v>2</v>
      </c>
      <c r="AA344">
        <v>3</v>
      </c>
      <c r="AB344" t="s">
        <v>11</v>
      </c>
      <c r="AC344" t="s">
        <v>12</v>
      </c>
      <c r="AD344" t="s">
        <v>20</v>
      </c>
      <c r="AE344" t="s">
        <v>14</v>
      </c>
      <c r="AF344" s="1">
        <v>17205</v>
      </c>
      <c r="AG344">
        <f t="shared" ca="1" si="17"/>
        <v>79</v>
      </c>
    </row>
    <row r="345" spans="1:33" x14ac:dyDescent="0.2">
      <c r="A345" s="1">
        <v>46036</v>
      </c>
      <c r="B345" t="str">
        <f t="shared" si="15"/>
        <v>mercredi</v>
      </c>
      <c r="C345" t="str">
        <f t="shared" si="16"/>
        <v>Nuit</v>
      </c>
      <c r="D345">
        <v>1500236</v>
      </c>
      <c r="E345">
        <v>2586761</v>
      </c>
      <c r="F345" t="s">
        <v>117</v>
      </c>
      <c r="G345" t="s">
        <v>25</v>
      </c>
      <c r="H345" t="s">
        <v>55</v>
      </c>
      <c r="I345" t="s">
        <v>189</v>
      </c>
      <c r="J345" t="s">
        <v>4</v>
      </c>
      <c r="K345">
        <v>60709</v>
      </c>
      <c r="L345" t="s">
        <v>5</v>
      </c>
      <c r="M345" t="s">
        <v>6</v>
      </c>
      <c r="N345" s="2">
        <v>1.5277777777777777E-2</v>
      </c>
      <c r="O345" s="2">
        <v>2.2222222222222223E-2</v>
      </c>
      <c r="P345" s="2">
        <v>2.9166666666666667E-2</v>
      </c>
      <c r="Q345" s="2">
        <v>7.8472222222222221E-2</v>
      </c>
      <c r="R345" s="2">
        <v>9.0972222222222218E-2</v>
      </c>
      <c r="S345" s="2">
        <v>0.1076388888888889</v>
      </c>
      <c r="T345" t="s">
        <v>7</v>
      </c>
      <c r="U345" t="s">
        <v>32</v>
      </c>
      <c r="V345" t="s">
        <v>8</v>
      </c>
      <c r="X345" t="s">
        <v>58</v>
      </c>
      <c r="Y345" t="s">
        <v>59</v>
      </c>
      <c r="Z345">
        <v>2</v>
      </c>
      <c r="AA345">
        <v>4</v>
      </c>
      <c r="AB345" t="s">
        <v>11</v>
      </c>
      <c r="AC345" t="s">
        <v>12</v>
      </c>
      <c r="AD345" t="s">
        <v>20</v>
      </c>
      <c r="AE345" t="s">
        <v>29</v>
      </c>
      <c r="AF345" s="1">
        <v>21602</v>
      </c>
      <c r="AG345">
        <f t="shared" ca="1" si="17"/>
        <v>66</v>
      </c>
    </row>
    <row r="346" spans="1:33" x14ac:dyDescent="0.2">
      <c r="A346" s="1">
        <v>46035</v>
      </c>
      <c r="B346" t="str">
        <f t="shared" si="15"/>
        <v>mardi</v>
      </c>
      <c r="C346" t="str">
        <f t="shared" si="16"/>
        <v>Jour</v>
      </c>
      <c r="D346">
        <v>1494190</v>
      </c>
      <c r="E346">
        <v>2586687</v>
      </c>
      <c r="F346" t="s">
        <v>21</v>
      </c>
      <c r="G346" t="s">
        <v>1</v>
      </c>
      <c r="H346" t="s">
        <v>23</v>
      </c>
      <c r="I346" t="s">
        <v>49</v>
      </c>
      <c r="J346" t="s">
        <v>4</v>
      </c>
      <c r="K346">
        <v>60708</v>
      </c>
      <c r="L346" t="s">
        <v>61</v>
      </c>
      <c r="M346" t="s">
        <v>195</v>
      </c>
      <c r="N346" s="2">
        <v>0.76041666666666663</v>
      </c>
      <c r="O346" s="2">
        <v>0.76041666666666663</v>
      </c>
      <c r="P346" s="2">
        <v>0.76597222222222228</v>
      </c>
      <c r="Q346" s="2">
        <v>0.77708333333333335</v>
      </c>
      <c r="R346" s="2">
        <v>0.78541666666666665</v>
      </c>
      <c r="S346" s="2">
        <v>0.80208333333333337</v>
      </c>
      <c r="T346" t="s">
        <v>8</v>
      </c>
      <c r="U346" t="s">
        <v>32</v>
      </c>
      <c r="V346" t="s">
        <v>8</v>
      </c>
      <c r="X346" t="s">
        <v>33</v>
      </c>
      <c r="Y346" t="s">
        <v>34</v>
      </c>
      <c r="Z346">
        <v>1</v>
      </c>
      <c r="AA346">
        <v>4</v>
      </c>
      <c r="AB346" t="s">
        <v>11</v>
      </c>
      <c r="AC346" t="s">
        <v>12</v>
      </c>
      <c r="AD346" t="s">
        <v>20</v>
      </c>
      <c r="AE346" t="s">
        <v>29</v>
      </c>
      <c r="AF346" s="1">
        <v>10220</v>
      </c>
      <c r="AG346">
        <f t="shared" ca="1" si="17"/>
        <v>98</v>
      </c>
    </row>
    <row r="347" spans="1:33" x14ac:dyDescent="0.2">
      <c r="A347" s="1">
        <v>46036</v>
      </c>
      <c r="B347" t="str">
        <f t="shared" si="15"/>
        <v>mercredi</v>
      </c>
      <c r="C347" t="str">
        <f t="shared" si="16"/>
        <v>Jour</v>
      </c>
      <c r="D347">
        <v>1492815</v>
      </c>
      <c r="E347">
        <v>2586664</v>
      </c>
      <c r="F347" t="s">
        <v>15</v>
      </c>
      <c r="G347" t="s">
        <v>16</v>
      </c>
      <c r="H347" t="s">
        <v>57</v>
      </c>
      <c r="I347" t="s">
        <v>41</v>
      </c>
      <c r="J347" t="s">
        <v>256</v>
      </c>
      <c r="K347">
        <v>60707</v>
      </c>
      <c r="L347" t="s">
        <v>5</v>
      </c>
      <c r="M347" t="s">
        <v>6</v>
      </c>
      <c r="N347" s="2">
        <v>0.70833333333333337</v>
      </c>
      <c r="O347" s="2">
        <v>0.70972222222222225</v>
      </c>
      <c r="P347" s="2">
        <v>0.71805555555555556</v>
      </c>
      <c r="Q347" s="2">
        <v>0.74375000000000002</v>
      </c>
      <c r="R347" s="2">
        <v>0.75694444444444442</v>
      </c>
      <c r="S347" s="2">
        <v>0.78125</v>
      </c>
      <c r="T347" t="s">
        <v>7</v>
      </c>
      <c r="U347" t="s">
        <v>82</v>
      </c>
      <c r="V347" t="s">
        <v>24</v>
      </c>
      <c r="X347" t="s">
        <v>74</v>
      </c>
      <c r="Y347" t="s">
        <v>75</v>
      </c>
      <c r="Z347">
        <v>2</v>
      </c>
      <c r="AA347">
        <v>3</v>
      </c>
      <c r="AB347" t="s">
        <v>11</v>
      </c>
      <c r="AC347" t="s">
        <v>28</v>
      </c>
      <c r="AD347" t="s">
        <v>44</v>
      </c>
      <c r="AE347" t="s">
        <v>14</v>
      </c>
      <c r="AF347" s="1">
        <v>13108</v>
      </c>
      <c r="AG347">
        <f t="shared" ca="1" si="17"/>
        <v>90</v>
      </c>
    </row>
    <row r="348" spans="1:33" x14ac:dyDescent="0.2">
      <c r="A348" s="1">
        <v>46035</v>
      </c>
      <c r="B348" t="str">
        <f t="shared" si="15"/>
        <v>mardi</v>
      </c>
      <c r="C348" t="str">
        <f t="shared" si="16"/>
        <v>Jour</v>
      </c>
      <c r="D348">
        <v>1494189</v>
      </c>
      <c r="E348">
        <v>2561291</v>
      </c>
      <c r="F348" t="s">
        <v>21</v>
      </c>
      <c r="G348" t="s">
        <v>1</v>
      </c>
      <c r="H348" t="s">
        <v>49</v>
      </c>
      <c r="I348" t="s">
        <v>23</v>
      </c>
      <c r="J348" t="s">
        <v>4</v>
      </c>
      <c r="K348">
        <v>60708</v>
      </c>
      <c r="L348" t="s">
        <v>61</v>
      </c>
      <c r="M348" t="s">
        <v>195</v>
      </c>
      <c r="N348" s="2">
        <v>0.73055555555555551</v>
      </c>
      <c r="O348" s="2">
        <v>0.7319444444444444</v>
      </c>
      <c r="P348" s="2">
        <v>0.73888888888888893</v>
      </c>
      <c r="S348" s="2">
        <v>0.75347222222222221</v>
      </c>
      <c r="T348" t="s">
        <v>8</v>
      </c>
      <c r="U348" t="s">
        <v>32</v>
      </c>
      <c r="V348" t="s">
        <v>47</v>
      </c>
      <c r="W348" t="s">
        <v>216</v>
      </c>
      <c r="X348" t="s">
        <v>33</v>
      </c>
      <c r="Y348" t="s">
        <v>201</v>
      </c>
      <c r="Z348">
        <v>4</v>
      </c>
      <c r="AA348">
        <v>1</v>
      </c>
      <c r="AB348" t="s">
        <v>11</v>
      </c>
      <c r="AC348" t="s">
        <v>12</v>
      </c>
      <c r="AD348" t="s">
        <v>20</v>
      </c>
      <c r="AE348" t="s">
        <v>14</v>
      </c>
      <c r="AF348" s="1">
        <v>34148</v>
      </c>
      <c r="AG348">
        <f t="shared" ca="1" si="17"/>
        <v>32</v>
      </c>
    </row>
    <row r="349" spans="1:33" x14ac:dyDescent="0.2">
      <c r="A349" s="1">
        <v>46036</v>
      </c>
      <c r="B349" t="str">
        <f t="shared" si="15"/>
        <v>mercredi</v>
      </c>
      <c r="C349" t="str">
        <f t="shared" si="16"/>
        <v>Nuit</v>
      </c>
      <c r="D349">
        <v>1492819</v>
      </c>
      <c r="E349">
        <v>2556770</v>
      </c>
      <c r="F349" t="s">
        <v>0</v>
      </c>
      <c r="G349" t="s">
        <v>16</v>
      </c>
      <c r="H349" t="s">
        <v>202</v>
      </c>
      <c r="I349" t="s">
        <v>103</v>
      </c>
      <c r="J349" t="s">
        <v>4</v>
      </c>
      <c r="K349">
        <v>60707</v>
      </c>
      <c r="L349" t="s">
        <v>61</v>
      </c>
      <c r="M349" t="s">
        <v>253</v>
      </c>
      <c r="N349" s="2">
        <v>7.4999999999999997E-2</v>
      </c>
      <c r="O349" s="2">
        <v>7.5694444444444439E-2</v>
      </c>
      <c r="P349" s="2">
        <v>7.9166666666666663E-2</v>
      </c>
      <c r="S349" s="2">
        <v>0.13125000000000001</v>
      </c>
      <c r="T349" t="s">
        <v>7</v>
      </c>
      <c r="U349" t="s">
        <v>32</v>
      </c>
      <c r="V349" t="s">
        <v>47</v>
      </c>
      <c r="W349" t="s">
        <v>216</v>
      </c>
      <c r="X349" t="s">
        <v>200</v>
      </c>
      <c r="Y349" t="s">
        <v>51</v>
      </c>
      <c r="Z349">
        <v>3</v>
      </c>
      <c r="AA349">
        <v>2</v>
      </c>
      <c r="AB349" t="s">
        <v>11</v>
      </c>
      <c r="AC349" t="s">
        <v>12</v>
      </c>
      <c r="AD349" t="s">
        <v>20</v>
      </c>
      <c r="AE349" t="s">
        <v>14</v>
      </c>
      <c r="AF349" s="1">
        <v>34368</v>
      </c>
      <c r="AG349">
        <f t="shared" ca="1" si="17"/>
        <v>32</v>
      </c>
    </row>
    <row r="350" spans="1:33" x14ac:dyDescent="0.2">
      <c r="A350" s="1">
        <v>46036</v>
      </c>
      <c r="B350" t="str">
        <f t="shared" si="15"/>
        <v>mercredi</v>
      </c>
      <c r="C350" t="str">
        <f t="shared" si="16"/>
        <v>Nuit</v>
      </c>
      <c r="D350">
        <v>1492818</v>
      </c>
      <c r="E350">
        <v>2586760</v>
      </c>
      <c r="F350" t="s">
        <v>0</v>
      </c>
      <c r="G350" t="s">
        <v>16</v>
      </c>
      <c r="H350" t="s">
        <v>103</v>
      </c>
      <c r="I350" t="s">
        <v>202</v>
      </c>
      <c r="J350" t="s">
        <v>4</v>
      </c>
      <c r="K350">
        <v>60707</v>
      </c>
      <c r="L350" t="s">
        <v>5</v>
      </c>
      <c r="M350" t="s">
        <v>6</v>
      </c>
      <c r="N350" s="2">
        <v>0.99652777777777779</v>
      </c>
      <c r="O350" s="2">
        <v>0.99861111111111112</v>
      </c>
      <c r="P350" s="2">
        <v>2.0833333333333333E-3</v>
      </c>
      <c r="Q350" s="2">
        <v>2.5000000000000001E-2</v>
      </c>
      <c r="R350" s="2">
        <v>3.0555555555555555E-2</v>
      </c>
      <c r="S350" s="2">
        <v>4.8611111111111112E-2</v>
      </c>
      <c r="T350" t="s">
        <v>43</v>
      </c>
      <c r="U350" t="s">
        <v>54</v>
      </c>
      <c r="V350" t="s">
        <v>8</v>
      </c>
      <c r="X350" t="s">
        <v>19</v>
      </c>
      <c r="Y350" t="s">
        <v>236</v>
      </c>
      <c r="Z350">
        <v>3</v>
      </c>
      <c r="AA350">
        <v>2</v>
      </c>
      <c r="AB350" t="s">
        <v>11</v>
      </c>
      <c r="AC350" t="s">
        <v>12</v>
      </c>
      <c r="AD350" t="s">
        <v>20</v>
      </c>
      <c r="AE350" t="s">
        <v>29</v>
      </c>
      <c r="AF350" s="1">
        <v>37295</v>
      </c>
      <c r="AG350">
        <f t="shared" ca="1" si="17"/>
        <v>24</v>
      </c>
    </row>
    <row r="351" spans="1:33" x14ac:dyDescent="0.2">
      <c r="A351" s="1">
        <v>46036</v>
      </c>
      <c r="B351" t="str">
        <f t="shared" si="15"/>
        <v>mercredi</v>
      </c>
      <c r="C351" t="str">
        <f t="shared" si="16"/>
        <v>Nuit</v>
      </c>
      <c r="D351">
        <v>1492820</v>
      </c>
      <c r="E351">
        <v>2586783</v>
      </c>
      <c r="F351" t="s">
        <v>0</v>
      </c>
      <c r="G351" t="s">
        <v>92</v>
      </c>
      <c r="H351" t="s">
        <v>103</v>
      </c>
      <c r="I351" t="s">
        <v>202</v>
      </c>
      <c r="J351" t="s">
        <v>4</v>
      </c>
      <c r="K351">
        <v>60707</v>
      </c>
      <c r="L351" t="s">
        <v>5</v>
      </c>
      <c r="M351" t="s">
        <v>6</v>
      </c>
      <c r="N351" s="2">
        <v>0.19305555555555556</v>
      </c>
      <c r="O351" s="2">
        <v>0.19513888888888889</v>
      </c>
      <c r="P351" s="2">
        <v>0.19930555555555557</v>
      </c>
      <c r="Q351" s="2">
        <v>0.21111111111111111</v>
      </c>
      <c r="R351" s="2">
        <v>0.21805555555555556</v>
      </c>
      <c r="S351" s="2">
        <v>0.23680555555555555</v>
      </c>
      <c r="T351" t="s">
        <v>8</v>
      </c>
      <c r="U351" t="s">
        <v>32</v>
      </c>
      <c r="V351" t="s">
        <v>8</v>
      </c>
      <c r="X351" t="s">
        <v>214</v>
      </c>
      <c r="Y351" t="s">
        <v>215</v>
      </c>
      <c r="Z351">
        <v>1</v>
      </c>
      <c r="AA351">
        <v>4</v>
      </c>
      <c r="AB351" t="s">
        <v>11</v>
      </c>
      <c r="AC351" t="s">
        <v>12</v>
      </c>
      <c r="AD351" t="s">
        <v>20</v>
      </c>
      <c r="AE351" t="s">
        <v>29</v>
      </c>
      <c r="AF351" s="1">
        <v>13126</v>
      </c>
      <c r="AG351">
        <f t="shared" ca="1" si="17"/>
        <v>90</v>
      </c>
    </row>
    <row r="352" spans="1:33" x14ac:dyDescent="0.2">
      <c r="A352" s="1">
        <v>46035</v>
      </c>
      <c r="B352" t="str">
        <f t="shared" si="15"/>
        <v>mardi</v>
      </c>
      <c r="C352" t="str">
        <f t="shared" si="16"/>
        <v>Nuit</v>
      </c>
      <c r="D352">
        <v>1492817</v>
      </c>
      <c r="E352">
        <v>2586731</v>
      </c>
      <c r="F352" t="s">
        <v>0</v>
      </c>
      <c r="G352" t="s">
        <v>16</v>
      </c>
      <c r="H352" t="s">
        <v>202</v>
      </c>
      <c r="I352" t="s">
        <v>103</v>
      </c>
      <c r="J352" t="s">
        <v>4</v>
      </c>
      <c r="K352">
        <v>60707</v>
      </c>
      <c r="L352" t="s">
        <v>5</v>
      </c>
      <c r="M352" t="s">
        <v>6</v>
      </c>
      <c r="N352" s="2">
        <v>0.87291666666666667</v>
      </c>
      <c r="O352" s="2">
        <v>0.87430555555555556</v>
      </c>
      <c r="P352" s="2">
        <v>0.8881944444444444</v>
      </c>
      <c r="Q352" s="2">
        <v>0.91666666666666663</v>
      </c>
      <c r="R352" s="2">
        <v>0.92777777777777781</v>
      </c>
      <c r="S352" s="2">
        <v>0.94305555555555554</v>
      </c>
      <c r="T352" t="s">
        <v>7</v>
      </c>
      <c r="U352" t="s">
        <v>251</v>
      </c>
      <c r="V352" t="s">
        <v>8</v>
      </c>
      <c r="X352" t="s">
        <v>190</v>
      </c>
      <c r="Y352" t="s">
        <v>191</v>
      </c>
      <c r="Z352">
        <v>2</v>
      </c>
      <c r="AA352">
        <v>3</v>
      </c>
      <c r="AB352" t="s">
        <v>11</v>
      </c>
      <c r="AC352" t="s">
        <v>12</v>
      </c>
      <c r="AD352" t="s">
        <v>20</v>
      </c>
      <c r="AE352" t="s">
        <v>14</v>
      </c>
      <c r="AF352" s="1">
        <v>15205</v>
      </c>
      <c r="AG352">
        <f t="shared" ca="1" si="17"/>
        <v>84</v>
      </c>
    </row>
    <row r="353" spans="1:33" x14ac:dyDescent="0.2">
      <c r="A353" s="1">
        <v>46035</v>
      </c>
      <c r="B353" t="str">
        <f t="shared" si="15"/>
        <v>mardi</v>
      </c>
      <c r="C353" t="str">
        <f t="shared" si="16"/>
        <v>Nuit</v>
      </c>
      <c r="D353">
        <v>1494191</v>
      </c>
      <c r="E353">
        <v>2586720</v>
      </c>
      <c r="F353" t="s">
        <v>45</v>
      </c>
      <c r="G353" t="s">
        <v>16</v>
      </c>
      <c r="H353" t="s">
        <v>239</v>
      </c>
      <c r="I353" t="s">
        <v>99</v>
      </c>
      <c r="J353" t="s">
        <v>4</v>
      </c>
      <c r="K353">
        <v>60708</v>
      </c>
      <c r="L353" t="s">
        <v>5</v>
      </c>
      <c r="M353" t="s">
        <v>6</v>
      </c>
      <c r="N353" s="2">
        <v>0.84166666666666667</v>
      </c>
      <c r="O353" s="2">
        <v>0.84305555555555556</v>
      </c>
      <c r="P353" s="2">
        <v>0.85486111111111107</v>
      </c>
      <c r="Q353" s="2">
        <v>0.87638888888888888</v>
      </c>
      <c r="R353" s="2">
        <v>0.88541666666666663</v>
      </c>
      <c r="S353" s="2">
        <v>0.91666666666666663</v>
      </c>
      <c r="T353" t="s">
        <v>7</v>
      </c>
      <c r="U353" t="s">
        <v>32</v>
      </c>
      <c r="V353" t="s">
        <v>8</v>
      </c>
      <c r="X353" t="s">
        <v>214</v>
      </c>
      <c r="Y353" t="s">
        <v>215</v>
      </c>
      <c r="Z353">
        <v>1</v>
      </c>
      <c r="AA353">
        <v>4</v>
      </c>
      <c r="AB353" t="s">
        <v>11</v>
      </c>
      <c r="AC353" t="s">
        <v>12</v>
      </c>
      <c r="AD353" t="s">
        <v>20</v>
      </c>
      <c r="AE353" t="s">
        <v>14</v>
      </c>
      <c r="AF353" s="1">
        <v>36408</v>
      </c>
      <c r="AG353">
        <f t="shared" ca="1" si="17"/>
        <v>26</v>
      </c>
    </row>
    <row r="354" spans="1:33" x14ac:dyDescent="0.2">
      <c r="A354" s="1">
        <v>46035</v>
      </c>
      <c r="B354" t="str">
        <f t="shared" si="15"/>
        <v>mardi</v>
      </c>
      <c r="C354" t="str">
        <f t="shared" si="16"/>
        <v>Jour</v>
      </c>
      <c r="D354">
        <v>1492816</v>
      </c>
      <c r="E354">
        <v>2586715</v>
      </c>
      <c r="F354" t="s">
        <v>0</v>
      </c>
      <c r="G354" t="s">
        <v>16</v>
      </c>
      <c r="H354" t="s">
        <v>103</v>
      </c>
      <c r="I354" t="s">
        <v>202</v>
      </c>
      <c r="J354" t="s">
        <v>4</v>
      </c>
      <c r="K354">
        <v>60707</v>
      </c>
      <c r="L354" t="s">
        <v>5</v>
      </c>
      <c r="M354" t="s">
        <v>6</v>
      </c>
      <c r="N354" s="2">
        <v>0.8256944444444444</v>
      </c>
      <c r="O354" s="2">
        <v>0.82638888888888884</v>
      </c>
      <c r="P354" s="2">
        <v>0.82916666666666672</v>
      </c>
      <c r="Q354" s="2">
        <v>0.83819444444444446</v>
      </c>
      <c r="R354" s="2">
        <v>0.84236111111111112</v>
      </c>
      <c r="S354" s="2">
        <v>0.85763888888888884</v>
      </c>
      <c r="T354" t="s">
        <v>43</v>
      </c>
      <c r="U354" t="s">
        <v>263</v>
      </c>
      <c r="V354" t="s">
        <v>8</v>
      </c>
      <c r="X354" t="s">
        <v>200</v>
      </c>
      <c r="Y354" t="s">
        <v>210</v>
      </c>
      <c r="Z354">
        <v>3</v>
      </c>
      <c r="AA354">
        <v>3</v>
      </c>
      <c r="AB354" t="s">
        <v>11</v>
      </c>
      <c r="AC354" t="s">
        <v>12</v>
      </c>
      <c r="AD354" t="s">
        <v>20</v>
      </c>
      <c r="AE354" t="s">
        <v>14</v>
      </c>
      <c r="AF354" s="1">
        <v>31842</v>
      </c>
      <c r="AG354">
        <f t="shared" ca="1" si="17"/>
        <v>38</v>
      </c>
    </row>
    <row r="355" spans="1:33" x14ac:dyDescent="0.2">
      <c r="A355" s="1">
        <v>46034</v>
      </c>
      <c r="B355" t="str">
        <f t="shared" si="15"/>
        <v>lundi</v>
      </c>
      <c r="C355" t="str">
        <f t="shared" si="16"/>
        <v>Jour</v>
      </c>
      <c r="D355">
        <v>1500224</v>
      </c>
      <c r="E355">
        <v>2586232</v>
      </c>
      <c r="F355" t="s">
        <v>56</v>
      </c>
      <c r="G355" t="s">
        <v>1</v>
      </c>
      <c r="H355" t="s">
        <v>55</v>
      </c>
      <c r="I355" t="s">
        <v>131</v>
      </c>
      <c r="J355" t="s">
        <v>4</v>
      </c>
      <c r="K355">
        <v>60709</v>
      </c>
      <c r="L355" t="s">
        <v>5</v>
      </c>
      <c r="M355" t="s">
        <v>6</v>
      </c>
      <c r="N355" s="2">
        <v>0.41597222222222224</v>
      </c>
      <c r="O355" s="2">
        <v>0.41666666666666669</v>
      </c>
      <c r="P355" s="2">
        <v>0.4201388888888889</v>
      </c>
      <c r="Q355" s="2">
        <v>0.43194444444444446</v>
      </c>
      <c r="R355" s="2">
        <v>0.4375</v>
      </c>
      <c r="S355" s="2">
        <v>0.46527777777777779</v>
      </c>
      <c r="T355" t="s">
        <v>7</v>
      </c>
      <c r="U355" t="s">
        <v>265</v>
      </c>
      <c r="V355" t="s">
        <v>8</v>
      </c>
      <c r="X355" t="s">
        <v>214</v>
      </c>
      <c r="Y355" t="s">
        <v>215</v>
      </c>
      <c r="Z355">
        <v>1</v>
      </c>
      <c r="AA355">
        <v>4</v>
      </c>
      <c r="AB355" t="s">
        <v>11</v>
      </c>
      <c r="AC355" t="s">
        <v>12</v>
      </c>
      <c r="AD355" t="s">
        <v>20</v>
      </c>
      <c r="AE355" t="s">
        <v>14</v>
      </c>
      <c r="AF355" s="1">
        <v>21753</v>
      </c>
      <c r="AG355">
        <f t="shared" ca="1" si="17"/>
        <v>66</v>
      </c>
    </row>
    <row r="356" spans="1:33" x14ac:dyDescent="0.2">
      <c r="A356" s="1">
        <v>46035</v>
      </c>
      <c r="B356" t="str">
        <f t="shared" si="15"/>
        <v>mardi</v>
      </c>
      <c r="C356" t="str">
        <f t="shared" si="16"/>
        <v>Nuit</v>
      </c>
      <c r="D356">
        <v>1494185</v>
      </c>
      <c r="E356">
        <v>2586494</v>
      </c>
      <c r="F356" t="s">
        <v>45</v>
      </c>
      <c r="G356" t="s">
        <v>16</v>
      </c>
      <c r="H356" t="s">
        <v>99</v>
      </c>
      <c r="I356" t="s">
        <v>239</v>
      </c>
      <c r="J356" t="s">
        <v>4</v>
      </c>
      <c r="K356">
        <v>60708</v>
      </c>
      <c r="L356" t="s">
        <v>5</v>
      </c>
      <c r="M356" t="s">
        <v>6</v>
      </c>
      <c r="N356" s="2">
        <v>0.23819444444444443</v>
      </c>
      <c r="O356" s="2">
        <v>0.24097222222222223</v>
      </c>
      <c r="P356" s="2">
        <v>0.25694444444444442</v>
      </c>
      <c r="Q356" s="2">
        <v>0.27569444444444446</v>
      </c>
      <c r="R356" s="2">
        <v>0.29375000000000001</v>
      </c>
      <c r="S356" s="2">
        <v>0.30416666666666664</v>
      </c>
      <c r="T356" t="s">
        <v>7</v>
      </c>
      <c r="U356" t="s">
        <v>30</v>
      </c>
      <c r="V356" t="s">
        <v>8</v>
      </c>
      <c r="X356" t="s">
        <v>9</v>
      </c>
      <c r="Y356" t="s">
        <v>10</v>
      </c>
      <c r="Z356">
        <v>2</v>
      </c>
      <c r="AA356">
        <v>3</v>
      </c>
      <c r="AB356" t="s">
        <v>11</v>
      </c>
      <c r="AC356" t="s">
        <v>12</v>
      </c>
      <c r="AD356" t="s">
        <v>20</v>
      </c>
      <c r="AE356" t="s">
        <v>29</v>
      </c>
      <c r="AF356" s="1">
        <v>19835</v>
      </c>
      <c r="AG356">
        <f t="shared" ca="1" si="17"/>
        <v>71</v>
      </c>
    </row>
    <row r="357" spans="1:33" x14ac:dyDescent="0.2">
      <c r="A357" s="1">
        <v>46034</v>
      </c>
      <c r="B357" t="str">
        <f t="shared" si="15"/>
        <v>lundi</v>
      </c>
      <c r="C357" t="str">
        <f t="shared" si="16"/>
        <v>Nuit</v>
      </c>
      <c r="D357">
        <v>1494183</v>
      </c>
      <c r="E357">
        <v>2586450</v>
      </c>
      <c r="F357" t="s">
        <v>45</v>
      </c>
      <c r="G357" t="s">
        <v>16</v>
      </c>
      <c r="H357" t="s">
        <v>99</v>
      </c>
      <c r="I357" t="s">
        <v>239</v>
      </c>
      <c r="J357" t="s">
        <v>4</v>
      </c>
      <c r="K357">
        <v>60708</v>
      </c>
      <c r="L357" t="s">
        <v>5</v>
      </c>
      <c r="M357" t="s">
        <v>6</v>
      </c>
      <c r="N357" s="2">
        <v>0.97083333333333333</v>
      </c>
      <c r="O357" s="2">
        <v>0.97291666666666665</v>
      </c>
      <c r="P357" s="2">
        <v>0.97638888888888886</v>
      </c>
      <c r="Q357" s="2">
        <v>0.9868055555555556</v>
      </c>
      <c r="R357" s="2">
        <v>0.99861111111111112</v>
      </c>
      <c r="S357" s="2">
        <v>1.0416666666666666E-2</v>
      </c>
      <c r="T357" t="s">
        <v>52</v>
      </c>
      <c r="U357" t="s">
        <v>251</v>
      </c>
      <c r="V357" t="s">
        <v>24</v>
      </c>
      <c r="X357" t="s">
        <v>192</v>
      </c>
      <c r="Y357" t="s">
        <v>198</v>
      </c>
      <c r="Z357">
        <v>3</v>
      </c>
      <c r="AA357">
        <v>2</v>
      </c>
      <c r="AB357" t="s">
        <v>11</v>
      </c>
      <c r="AC357" t="s">
        <v>28</v>
      </c>
      <c r="AD357" t="s">
        <v>20</v>
      </c>
      <c r="AE357" t="s">
        <v>14</v>
      </c>
      <c r="AF357" s="1">
        <v>17275</v>
      </c>
      <c r="AG357">
        <f t="shared" ca="1" si="17"/>
        <v>78</v>
      </c>
    </row>
    <row r="358" spans="1:33" x14ac:dyDescent="0.2">
      <c r="A358" s="1">
        <v>46035</v>
      </c>
      <c r="B358" t="str">
        <f t="shared" si="15"/>
        <v>mardi</v>
      </c>
      <c r="C358" t="str">
        <f t="shared" si="16"/>
        <v>Jour</v>
      </c>
      <c r="D358">
        <v>1500231</v>
      </c>
      <c r="E358">
        <v>2586558</v>
      </c>
      <c r="F358" t="s">
        <v>56</v>
      </c>
      <c r="G358" t="s">
        <v>1</v>
      </c>
      <c r="H358" t="s">
        <v>81</v>
      </c>
      <c r="I358" t="s">
        <v>68</v>
      </c>
      <c r="J358" t="s">
        <v>4</v>
      </c>
      <c r="K358">
        <v>60709</v>
      </c>
      <c r="L358" t="s">
        <v>5</v>
      </c>
      <c r="M358" t="s">
        <v>6</v>
      </c>
      <c r="N358" s="2">
        <v>0.45069444444444445</v>
      </c>
      <c r="O358" s="2">
        <v>0.45069444444444445</v>
      </c>
      <c r="P358" s="2">
        <v>0.45277777777777778</v>
      </c>
      <c r="Q358" s="2">
        <v>0.46527777777777779</v>
      </c>
      <c r="R358" s="2">
        <v>0.47986111111111113</v>
      </c>
      <c r="S358" s="2">
        <v>0.5</v>
      </c>
      <c r="T358" t="s">
        <v>7</v>
      </c>
      <c r="U358" t="s">
        <v>142</v>
      </c>
      <c r="V358" t="s">
        <v>8</v>
      </c>
      <c r="X358" t="s">
        <v>190</v>
      </c>
      <c r="Y358" t="s">
        <v>191</v>
      </c>
      <c r="Z358">
        <v>2</v>
      </c>
      <c r="AA358">
        <v>3</v>
      </c>
      <c r="AB358" t="s">
        <v>11</v>
      </c>
      <c r="AC358" t="s">
        <v>12</v>
      </c>
      <c r="AD358" t="s">
        <v>20</v>
      </c>
      <c r="AE358" t="s">
        <v>14</v>
      </c>
      <c r="AF358" s="1">
        <v>12276</v>
      </c>
      <c r="AG358">
        <f t="shared" ca="1" si="17"/>
        <v>92</v>
      </c>
    </row>
    <row r="359" spans="1:33" x14ac:dyDescent="0.2">
      <c r="A359" s="1">
        <v>46035</v>
      </c>
      <c r="B359" t="str">
        <f t="shared" si="15"/>
        <v>mardi</v>
      </c>
      <c r="C359" t="str">
        <f t="shared" si="16"/>
        <v>Jour</v>
      </c>
      <c r="D359">
        <v>1500229</v>
      </c>
      <c r="E359">
        <v>2586505</v>
      </c>
      <c r="F359" t="s">
        <v>56</v>
      </c>
      <c r="G359" t="s">
        <v>16</v>
      </c>
      <c r="H359" t="s">
        <v>81</v>
      </c>
      <c r="I359" t="s">
        <v>68</v>
      </c>
      <c r="J359" t="s">
        <v>4</v>
      </c>
      <c r="K359">
        <v>60709</v>
      </c>
      <c r="L359" t="s">
        <v>5</v>
      </c>
      <c r="M359" t="s">
        <v>6</v>
      </c>
      <c r="N359" s="2">
        <v>0.30625000000000002</v>
      </c>
      <c r="O359" s="2">
        <v>0.30763888888888891</v>
      </c>
      <c r="P359" s="2">
        <v>0.32083333333333336</v>
      </c>
      <c r="Q359" s="2">
        <v>0.33750000000000002</v>
      </c>
      <c r="R359" s="2">
        <v>0.36458333333333331</v>
      </c>
      <c r="S359" s="2">
        <v>0.38541666666666669</v>
      </c>
      <c r="T359" t="s">
        <v>7</v>
      </c>
      <c r="U359" t="s">
        <v>102</v>
      </c>
      <c r="V359" t="s">
        <v>8</v>
      </c>
      <c r="X359" t="s">
        <v>33</v>
      </c>
      <c r="Y359" t="s">
        <v>207</v>
      </c>
      <c r="Z359">
        <v>3</v>
      </c>
      <c r="AA359">
        <v>3</v>
      </c>
      <c r="AB359" t="s">
        <v>11</v>
      </c>
      <c r="AC359" t="s">
        <v>12</v>
      </c>
      <c r="AD359" t="s">
        <v>20</v>
      </c>
      <c r="AE359" t="s">
        <v>29</v>
      </c>
      <c r="AF359" s="1">
        <v>14774</v>
      </c>
      <c r="AG359">
        <f t="shared" ca="1" si="17"/>
        <v>85</v>
      </c>
    </row>
    <row r="360" spans="1:33" x14ac:dyDescent="0.2">
      <c r="A360" s="1">
        <v>46035</v>
      </c>
      <c r="B360" t="str">
        <f t="shared" si="15"/>
        <v>mardi</v>
      </c>
      <c r="C360" t="str">
        <f t="shared" si="16"/>
        <v>Jour</v>
      </c>
      <c r="D360">
        <v>1492813</v>
      </c>
      <c r="E360">
        <v>2586611</v>
      </c>
      <c r="F360" t="s">
        <v>15</v>
      </c>
      <c r="G360" t="s">
        <v>1</v>
      </c>
      <c r="H360" t="s">
        <v>57</v>
      </c>
      <c r="I360" t="s">
        <v>41</v>
      </c>
      <c r="J360" t="s">
        <v>256</v>
      </c>
      <c r="K360">
        <v>60707</v>
      </c>
      <c r="L360" t="s">
        <v>5</v>
      </c>
      <c r="M360" t="s">
        <v>6</v>
      </c>
      <c r="N360" s="2">
        <v>0.57222222222222219</v>
      </c>
      <c r="O360" s="2">
        <v>0.57222222222222219</v>
      </c>
      <c r="P360" s="2">
        <v>0.57430555555555551</v>
      </c>
      <c r="Q360" s="2">
        <v>0.58125000000000004</v>
      </c>
      <c r="R360" s="2">
        <v>0.5854166666666667</v>
      </c>
      <c r="S360" s="2">
        <v>0.60416666666666663</v>
      </c>
      <c r="T360" t="s">
        <v>24</v>
      </c>
      <c r="U360" t="s">
        <v>265</v>
      </c>
      <c r="V360" t="s">
        <v>8</v>
      </c>
      <c r="X360" t="s">
        <v>214</v>
      </c>
      <c r="Y360" t="s">
        <v>215</v>
      </c>
      <c r="Z360">
        <v>2</v>
      </c>
      <c r="AA360">
        <v>4</v>
      </c>
      <c r="AB360" t="s">
        <v>11</v>
      </c>
      <c r="AC360" t="s">
        <v>12</v>
      </c>
      <c r="AD360" t="s">
        <v>20</v>
      </c>
      <c r="AE360" t="s">
        <v>29</v>
      </c>
      <c r="AF360" s="1">
        <v>19695</v>
      </c>
      <c r="AG360">
        <f t="shared" ca="1" si="17"/>
        <v>72</v>
      </c>
    </row>
    <row r="361" spans="1:33" x14ac:dyDescent="0.2">
      <c r="A361" s="1">
        <v>46035</v>
      </c>
      <c r="B361" t="str">
        <f t="shared" si="15"/>
        <v>mardi</v>
      </c>
      <c r="C361" t="str">
        <f t="shared" si="16"/>
        <v>Jour</v>
      </c>
      <c r="D361">
        <v>1494188</v>
      </c>
      <c r="E361">
        <v>2586613</v>
      </c>
      <c r="F361" t="s">
        <v>21</v>
      </c>
      <c r="G361" t="s">
        <v>16</v>
      </c>
      <c r="H361" t="s">
        <v>23</v>
      </c>
      <c r="I361" t="s">
        <v>49</v>
      </c>
      <c r="J361" t="s">
        <v>4</v>
      </c>
      <c r="K361">
        <v>60708</v>
      </c>
      <c r="L361" t="s">
        <v>5</v>
      </c>
      <c r="M361" t="s">
        <v>6</v>
      </c>
      <c r="N361" s="2">
        <v>0.59236111111111112</v>
      </c>
      <c r="O361" s="2">
        <v>0.59444444444444444</v>
      </c>
      <c r="P361" s="2">
        <v>0.60277777777777775</v>
      </c>
      <c r="Q361" s="2">
        <v>0.63263888888888886</v>
      </c>
      <c r="R361" s="2">
        <v>0.64583333333333337</v>
      </c>
      <c r="S361" s="2">
        <v>0.65625</v>
      </c>
      <c r="T361" t="s">
        <v>7</v>
      </c>
      <c r="U361" t="s">
        <v>54</v>
      </c>
      <c r="V361" t="s">
        <v>8</v>
      </c>
      <c r="X361" t="s">
        <v>192</v>
      </c>
      <c r="Y361" t="s">
        <v>84</v>
      </c>
      <c r="Z361">
        <v>3</v>
      </c>
      <c r="AA361">
        <v>2</v>
      </c>
      <c r="AB361" t="s">
        <v>11</v>
      </c>
      <c r="AC361" t="s">
        <v>28</v>
      </c>
      <c r="AD361" t="s">
        <v>20</v>
      </c>
      <c r="AE361" t="s">
        <v>14</v>
      </c>
      <c r="AF361" s="1">
        <v>13020</v>
      </c>
      <c r="AG361">
        <f t="shared" ca="1" si="17"/>
        <v>90</v>
      </c>
    </row>
    <row r="362" spans="1:33" x14ac:dyDescent="0.2">
      <c r="A362" s="1">
        <v>46035</v>
      </c>
      <c r="B362" t="str">
        <f t="shared" si="15"/>
        <v>mardi</v>
      </c>
      <c r="C362" t="str">
        <f t="shared" si="16"/>
        <v>Jour</v>
      </c>
      <c r="D362">
        <v>1492811</v>
      </c>
      <c r="E362">
        <v>2586550</v>
      </c>
      <c r="F362" t="s">
        <v>15</v>
      </c>
      <c r="G362" t="s">
        <v>1</v>
      </c>
      <c r="H362" t="s">
        <v>57</v>
      </c>
      <c r="I362" t="s">
        <v>41</v>
      </c>
      <c r="J362" t="s">
        <v>256</v>
      </c>
      <c r="K362">
        <v>60707</v>
      </c>
      <c r="L362" t="s">
        <v>5</v>
      </c>
      <c r="M362" t="s">
        <v>6</v>
      </c>
      <c r="N362" s="2">
        <v>0.4284722222222222</v>
      </c>
      <c r="O362" s="2">
        <v>0.42916666666666664</v>
      </c>
      <c r="P362" s="2">
        <v>0.43402777777777779</v>
      </c>
      <c r="Q362" s="2">
        <v>0.45347222222222222</v>
      </c>
      <c r="R362" s="2">
        <v>0.45833333333333331</v>
      </c>
      <c r="S362" s="2">
        <v>0.47916666666666669</v>
      </c>
      <c r="T362" t="s">
        <v>7</v>
      </c>
      <c r="U362" t="s">
        <v>54</v>
      </c>
      <c r="V362" t="s">
        <v>8</v>
      </c>
      <c r="X362" t="s">
        <v>9</v>
      </c>
      <c r="Y362" t="s">
        <v>10</v>
      </c>
      <c r="Z362">
        <v>2</v>
      </c>
      <c r="AA362">
        <v>4</v>
      </c>
      <c r="AB362" t="s">
        <v>11</v>
      </c>
      <c r="AC362" t="s">
        <v>12</v>
      </c>
      <c r="AD362" t="s">
        <v>13</v>
      </c>
      <c r="AE362" t="s">
        <v>29</v>
      </c>
      <c r="AF362" s="1">
        <v>34212</v>
      </c>
      <c r="AG362">
        <f t="shared" ca="1" si="17"/>
        <v>32</v>
      </c>
    </row>
    <row r="363" spans="1:33" x14ac:dyDescent="0.2">
      <c r="A363" s="1">
        <v>46035</v>
      </c>
      <c r="B363" t="str">
        <f t="shared" si="15"/>
        <v>mardi</v>
      </c>
      <c r="C363" t="str">
        <f t="shared" si="16"/>
        <v>Jour</v>
      </c>
      <c r="D363">
        <v>1500232</v>
      </c>
      <c r="E363">
        <v>2586603</v>
      </c>
      <c r="F363" t="s">
        <v>56</v>
      </c>
      <c r="G363" t="s">
        <v>16</v>
      </c>
      <c r="H363" t="s">
        <v>68</v>
      </c>
      <c r="I363" t="s">
        <v>42</v>
      </c>
      <c r="J363" t="s">
        <v>4</v>
      </c>
      <c r="K363">
        <v>60709</v>
      </c>
      <c r="L363" t="s">
        <v>5</v>
      </c>
      <c r="M363" t="s">
        <v>6</v>
      </c>
      <c r="N363" s="2">
        <v>0.54305555555555551</v>
      </c>
      <c r="O363" s="2">
        <v>0.54652777777777772</v>
      </c>
      <c r="P363" s="2">
        <v>0.55138888888888893</v>
      </c>
      <c r="Q363" s="2">
        <v>0.56388888888888888</v>
      </c>
      <c r="R363" s="2">
        <v>0.57361111111111107</v>
      </c>
      <c r="S363" s="2">
        <v>0.58333333333333337</v>
      </c>
      <c r="T363" t="s">
        <v>52</v>
      </c>
      <c r="U363" t="s">
        <v>32</v>
      </c>
      <c r="V363" t="s">
        <v>8</v>
      </c>
      <c r="X363" t="s">
        <v>252</v>
      </c>
      <c r="Y363" t="s">
        <v>48</v>
      </c>
      <c r="Z363">
        <v>3</v>
      </c>
      <c r="AA363">
        <v>3</v>
      </c>
      <c r="AB363" t="s">
        <v>11</v>
      </c>
      <c r="AC363" t="s">
        <v>12</v>
      </c>
      <c r="AD363" t="s">
        <v>244</v>
      </c>
      <c r="AE363" t="s">
        <v>14</v>
      </c>
      <c r="AF363" s="1">
        <v>12481</v>
      </c>
      <c r="AG363">
        <f t="shared" ca="1" si="17"/>
        <v>91</v>
      </c>
    </row>
    <row r="364" spans="1:33" x14ac:dyDescent="0.2">
      <c r="A364" s="1">
        <v>46035</v>
      </c>
      <c r="B364" t="str">
        <f t="shared" si="15"/>
        <v>mardi</v>
      </c>
      <c r="C364" t="str">
        <f t="shared" si="16"/>
        <v>Jour</v>
      </c>
      <c r="D364">
        <v>1500397</v>
      </c>
      <c r="E364">
        <v>2586574</v>
      </c>
      <c r="F364" t="s">
        <v>25</v>
      </c>
      <c r="G364" t="s">
        <v>25</v>
      </c>
      <c r="H364" t="s">
        <v>26</v>
      </c>
      <c r="I364" t="s">
        <v>69</v>
      </c>
      <c r="J364" t="s">
        <v>4</v>
      </c>
      <c r="K364">
        <v>60704</v>
      </c>
      <c r="L364" t="s">
        <v>5</v>
      </c>
      <c r="M364" t="s">
        <v>6</v>
      </c>
      <c r="N364" s="2">
        <v>0.48194444444444445</v>
      </c>
      <c r="O364" s="2">
        <v>0.48333333333333334</v>
      </c>
      <c r="P364" s="2">
        <v>0.49930555555555556</v>
      </c>
      <c r="Q364" s="2">
        <v>0.51527777777777772</v>
      </c>
      <c r="R364" s="2">
        <v>0.53055555555555556</v>
      </c>
      <c r="S364" s="2">
        <v>0.54861111111111116</v>
      </c>
      <c r="T364" t="s">
        <v>38</v>
      </c>
      <c r="U364" t="s">
        <v>251</v>
      </c>
      <c r="V364" t="s">
        <v>8</v>
      </c>
      <c r="X364" t="s">
        <v>238</v>
      </c>
      <c r="Y364" t="s">
        <v>245</v>
      </c>
      <c r="Z364">
        <v>3</v>
      </c>
      <c r="AA364">
        <v>2</v>
      </c>
      <c r="AB364" t="s">
        <v>11</v>
      </c>
      <c r="AC364" t="s">
        <v>12</v>
      </c>
      <c r="AD364" t="s">
        <v>20</v>
      </c>
      <c r="AE364" t="s">
        <v>29</v>
      </c>
      <c r="AF364" s="1">
        <v>17928</v>
      </c>
      <c r="AG364">
        <f t="shared" ca="1" si="17"/>
        <v>77</v>
      </c>
    </row>
    <row r="365" spans="1:33" x14ac:dyDescent="0.2">
      <c r="A365" s="1">
        <v>46035</v>
      </c>
      <c r="B365" t="str">
        <f t="shared" si="15"/>
        <v>mardi</v>
      </c>
      <c r="C365" t="str">
        <f t="shared" si="16"/>
        <v>Jour</v>
      </c>
      <c r="D365">
        <v>1500396</v>
      </c>
      <c r="E365">
        <v>2586530</v>
      </c>
      <c r="F365" t="s">
        <v>25</v>
      </c>
      <c r="G365" t="s">
        <v>25</v>
      </c>
      <c r="H365" t="s">
        <v>26</v>
      </c>
      <c r="I365" t="s">
        <v>69</v>
      </c>
      <c r="J365" t="s">
        <v>4</v>
      </c>
      <c r="K365">
        <v>60704</v>
      </c>
      <c r="L365" t="s">
        <v>5</v>
      </c>
      <c r="M365" t="s">
        <v>6</v>
      </c>
      <c r="N365" s="2">
        <v>0.38611111111111113</v>
      </c>
      <c r="O365" s="2">
        <v>0.39097222222222222</v>
      </c>
      <c r="P365" s="2">
        <v>0.40416666666666667</v>
      </c>
      <c r="Q365" s="2">
        <v>0.43333333333333335</v>
      </c>
      <c r="R365" s="2">
        <v>0.44861111111111113</v>
      </c>
      <c r="S365" s="2">
        <v>0.46875</v>
      </c>
      <c r="T365" t="s">
        <v>7</v>
      </c>
      <c r="U365" t="s">
        <v>18</v>
      </c>
      <c r="V365" t="s">
        <v>8</v>
      </c>
      <c r="X365" t="s">
        <v>74</v>
      </c>
      <c r="Y365" t="s">
        <v>75</v>
      </c>
      <c r="Z365">
        <v>3</v>
      </c>
      <c r="AA365">
        <v>3</v>
      </c>
      <c r="AB365" t="s">
        <v>11</v>
      </c>
      <c r="AC365" t="s">
        <v>28</v>
      </c>
      <c r="AD365" t="s">
        <v>44</v>
      </c>
      <c r="AE365" t="s">
        <v>29</v>
      </c>
      <c r="AF365" s="1">
        <v>15290</v>
      </c>
      <c r="AG365">
        <f t="shared" ca="1" si="17"/>
        <v>84</v>
      </c>
    </row>
    <row r="366" spans="1:33" x14ac:dyDescent="0.2">
      <c r="A366" s="1">
        <v>46035</v>
      </c>
      <c r="B366" t="str">
        <f t="shared" si="15"/>
        <v>mardi</v>
      </c>
      <c r="C366" t="str">
        <f t="shared" si="16"/>
        <v>Jour</v>
      </c>
      <c r="D366">
        <v>1494187</v>
      </c>
      <c r="E366">
        <v>2586565</v>
      </c>
      <c r="F366" t="s">
        <v>21</v>
      </c>
      <c r="G366" t="s">
        <v>1</v>
      </c>
      <c r="H366" t="s">
        <v>49</v>
      </c>
      <c r="I366" t="s">
        <v>23</v>
      </c>
      <c r="J366" t="s">
        <v>4</v>
      </c>
      <c r="K366">
        <v>60708</v>
      </c>
      <c r="L366" t="s">
        <v>5</v>
      </c>
      <c r="M366" t="s">
        <v>6</v>
      </c>
      <c r="N366" s="2">
        <v>0.47013888888888888</v>
      </c>
      <c r="O366" s="2">
        <v>0.47222222222222221</v>
      </c>
      <c r="P366" s="2">
        <v>0.47499999999999998</v>
      </c>
      <c r="Q366" s="2">
        <v>0.47986111111111113</v>
      </c>
      <c r="R366" s="2">
        <v>0.48541666666666666</v>
      </c>
      <c r="S366" s="2">
        <v>0.50694444444444442</v>
      </c>
      <c r="T366" t="s">
        <v>7</v>
      </c>
      <c r="U366" t="s">
        <v>32</v>
      </c>
      <c r="V366" t="s">
        <v>8</v>
      </c>
      <c r="X366" t="s">
        <v>214</v>
      </c>
      <c r="Y366" t="s">
        <v>215</v>
      </c>
      <c r="Z366">
        <v>1</v>
      </c>
      <c r="AA366">
        <v>4</v>
      </c>
      <c r="AB366" t="s">
        <v>11</v>
      </c>
      <c r="AC366" t="s">
        <v>12</v>
      </c>
      <c r="AD366" t="s">
        <v>36</v>
      </c>
      <c r="AE366" t="s">
        <v>14</v>
      </c>
      <c r="AF366" s="1">
        <v>31292</v>
      </c>
      <c r="AG366">
        <f t="shared" ca="1" si="17"/>
        <v>40</v>
      </c>
    </row>
    <row r="367" spans="1:33" x14ac:dyDescent="0.2">
      <c r="A367" s="1">
        <v>46035</v>
      </c>
      <c r="B367" t="str">
        <f t="shared" si="15"/>
        <v>mardi</v>
      </c>
      <c r="C367" t="str">
        <f t="shared" si="16"/>
        <v>Jour</v>
      </c>
      <c r="D367">
        <v>1494186</v>
      </c>
      <c r="E367">
        <v>2586517</v>
      </c>
      <c r="F367" t="s">
        <v>21</v>
      </c>
      <c r="G367" t="s">
        <v>16</v>
      </c>
      <c r="H367" t="s">
        <v>23</v>
      </c>
      <c r="I367" t="s">
        <v>49</v>
      </c>
      <c r="J367" t="s">
        <v>4</v>
      </c>
      <c r="K367">
        <v>60708</v>
      </c>
      <c r="L367" t="s">
        <v>5</v>
      </c>
      <c r="M367" t="s">
        <v>6</v>
      </c>
      <c r="N367" s="2">
        <v>0.35694444444444445</v>
      </c>
      <c r="O367" s="2">
        <v>0.3576388888888889</v>
      </c>
      <c r="P367" s="2">
        <v>0.36319444444444443</v>
      </c>
      <c r="Q367" s="2">
        <v>0.38263888888888886</v>
      </c>
      <c r="R367" s="2">
        <v>0.39930555555555558</v>
      </c>
      <c r="S367" s="2">
        <v>0.43263888888888891</v>
      </c>
      <c r="T367" t="s">
        <v>7</v>
      </c>
      <c r="U367" t="s">
        <v>32</v>
      </c>
      <c r="V367" t="s">
        <v>8</v>
      </c>
      <c r="X367" t="s">
        <v>66</v>
      </c>
      <c r="Y367" t="s">
        <v>85</v>
      </c>
      <c r="Z367">
        <v>2</v>
      </c>
      <c r="AA367">
        <v>3</v>
      </c>
      <c r="AB367" t="s">
        <v>11</v>
      </c>
      <c r="AC367" t="s">
        <v>12</v>
      </c>
      <c r="AD367" t="s">
        <v>20</v>
      </c>
      <c r="AE367" t="s">
        <v>14</v>
      </c>
      <c r="AF367" s="1">
        <v>28745</v>
      </c>
      <c r="AG367">
        <f t="shared" ca="1" si="17"/>
        <v>47</v>
      </c>
    </row>
    <row r="368" spans="1:33" x14ac:dyDescent="0.2">
      <c r="A368" s="1">
        <v>46035</v>
      </c>
      <c r="B368" t="str">
        <f t="shared" si="15"/>
        <v>mardi</v>
      </c>
      <c r="C368" t="str">
        <f t="shared" si="16"/>
        <v>Jour</v>
      </c>
      <c r="D368">
        <v>1500230</v>
      </c>
      <c r="E368">
        <v>2586538</v>
      </c>
      <c r="F368" t="s">
        <v>56</v>
      </c>
      <c r="G368" t="s">
        <v>1</v>
      </c>
      <c r="H368" t="s">
        <v>68</v>
      </c>
      <c r="I368" t="s">
        <v>81</v>
      </c>
      <c r="J368" t="s">
        <v>4</v>
      </c>
      <c r="K368">
        <v>60709</v>
      </c>
      <c r="L368" t="s">
        <v>5</v>
      </c>
      <c r="M368" t="s">
        <v>6</v>
      </c>
      <c r="N368" s="2">
        <v>0.40486111111111112</v>
      </c>
      <c r="O368" s="2">
        <v>0.40763888888888888</v>
      </c>
      <c r="P368" s="2">
        <v>0.41875000000000001</v>
      </c>
      <c r="Q368" s="2">
        <v>0.43125000000000002</v>
      </c>
      <c r="R368" s="2">
        <v>0.43333333333333335</v>
      </c>
      <c r="S368" s="2">
        <v>0.44791666666666669</v>
      </c>
      <c r="T368" t="s">
        <v>43</v>
      </c>
      <c r="U368" t="s">
        <v>143</v>
      </c>
      <c r="V368" t="s">
        <v>24</v>
      </c>
      <c r="X368" t="s">
        <v>74</v>
      </c>
      <c r="Y368" t="s">
        <v>75</v>
      </c>
      <c r="Z368">
        <v>3</v>
      </c>
      <c r="AA368">
        <v>2</v>
      </c>
      <c r="AB368" t="s">
        <v>11</v>
      </c>
      <c r="AC368" t="s">
        <v>28</v>
      </c>
      <c r="AD368" t="s">
        <v>44</v>
      </c>
      <c r="AE368" t="s">
        <v>14</v>
      </c>
      <c r="AF368" s="1">
        <v>18537</v>
      </c>
      <c r="AG368">
        <f t="shared" ca="1" si="17"/>
        <v>75</v>
      </c>
    </row>
    <row r="369" spans="1:33" x14ac:dyDescent="0.2">
      <c r="A369" s="1">
        <v>46034</v>
      </c>
      <c r="B369" t="str">
        <f t="shared" si="15"/>
        <v>lundi</v>
      </c>
      <c r="C369" t="str">
        <f t="shared" si="16"/>
        <v>Nuit</v>
      </c>
      <c r="D369">
        <v>1492809</v>
      </c>
      <c r="E369">
        <v>2586441</v>
      </c>
      <c r="F369" t="s">
        <v>0</v>
      </c>
      <c r="G369" t="s">
        <v>1</v>
      </c>
      <c r="H369" t="s">
        <v>203</v>
      </c>
      <c r="I369" t="s">
        <v>111</v>
      </c>
      <c r="J369" t="s">
        <v>4</v>
      </c>
      <c r="K369">
        <v>60707</v>
      </c>
      <c r="L369" t="s">
        <v>5</v>
      </c>
      <c r="M369" t="s">
        <v>6</v>
      </c>
      <c r="N369" s="2">
        <v>0.93819444444444444</v>
      </c>
      <c r="O369" s="2">
        <v>0.93888888888888888</v>
      </c>
      <c r="P369" s="2">
        <v>0.94166666666666665</v>
      </c>
      <c r="Q369" s="2">
        <v>0.97847222222222219</v>
      </c>
      <c r="R369" s="2">
        <v>0.98263888888888884</v>
      </c>
      <c r="S369" s="2">
        <v>0.99652777777777779</v>
      </c>
      <c r="T369" t="s">
        <v>7</v>
      </c>
      <c r="U369" t="s">
        <v>263</v>
      </c>
      <c r="V369" t="s">
        <v>24</v>
      </c>
      <c r="X369" t="s">
        <v>9</v>
      </c>
      <c r="Y369" t="s">
        <v>10</v>
      </c>
      <c r="Z369">
        <v>2</v>
      </c>
      <c r="AA369">
        <v>2</v>
      </c>
      <c r="AB369" t="s">
        <v>11</v>
      </c>
      <c r="AC369" t="s">
        <v>12</v>
      </c>
      <c r="AD369" t="s">
        <v>20</v>
      </c>
      <c r="AE369" t="s">
        <v>29</v>
      </c>
      <c r="AF369" s="1">
        <v>16699</v>
      </c>
      <c r="AG369">
        <f t="shared" ca="1" si="17"/>
        <v>80</v>
      </c>
    </row>
    <row r="370" spans="1:33" x14ac:dyDescent="0.2">
      <c r="A370" s="1">
        <v>46035</v>
      </c>
      <c r="B370" t="str">
        <f t="shared" si="15"/>
        <v>mardi</v>
      </c>
      <c r="C370" t="str">
        <f t="shared" si="16"/>
        <v>Jour</v>
      </c>
      <c r="D370">
        <v>1492810</v>
      </c>
      <c r="E370">
        <v>2586501</v>
      </c>
      <c r="F370" t="s">
        <v>15</v>
      </c>
      <c r="G370" t="s">
        <v>16</v>
      </c>
      <c r="H370" t="s">
        <v>41</v>
      </c>
      <c r="I370" t="s">
        <v>57</v>
      </c>
      <c r="J370" t="s">
        <v>256</v>
      </c>
      <c r="K370">
        <v>60707</v>
      </c>
      <c r="L370" t="s">
        <v>5</v>
      </c>
      <c r="M370" t="s">
        <v>6</v>
      </c>
      <c r="N370" s="2">
        <v>0.2986111111111111</v>
      </c>
      <c r="O370" s="2">
        <v>0.3</v>
      </c>
      <c r="P370" s="2">
        <v>0.30069444444444443</v>
      </c>
      <c r="S370" s="2">
        <v>0.31319444444444444</v>
      </c>
      <c r="T370" t="s">
        <v>43</v>
      </c>
      <c r="U370" t="s">
        <v>263</v>
      </c>
      <c r="V370" t="s">
        <v>47</v>
      </c>
      <c r="W370" t="s">
        <v>199</v>
      </c>
      <c r="X370" t="s">
        <v>252</v>
      </c>
      <c r="Y370" t="s">
        <v>48</v>
      </c>
      <c r="Z370">
        <v>3</v>
      </c>
      <c r="AA370">
        <v>1</v>
      </c>
      <c r="AB370" t="s">
        <v>11</v>
      </c>
      <c r="AC370" t="s">
        <v>12</v>
      </c>
      <c r="AD370" t="s">
        <v>20</v>
      </c>
      <c r="AE370" t="s">
        <v>14</v>
      </c>
      <c r="AF370" s="1">
        <v>39871</v>
      </c>
      <c r="AG370">
        <f t="shared" ca="1" si="17"/>
        <v>16</v>
      </c>
    </row>
    <row r="371" spans="1:33" x14ac:dyDescent="0.2">
      <c r="A371" s="1">
        <v>46034</v>
      </c>
      <c r="B371" t="str">
        <f t="shared" si="15"/>
        <v>lundi</v>
      </c>
      <c r="C371" t="str">
        <f t="shared" si="16"/>
        <v>Jour</v>
      </c>
      <c r="D371">
        <v>1492805</v>
      </c>
      <c r="E371">
        <v>2586298</v>
      </c>
      <c r="F371" t="s">
        <v>15</v>
      </c>
      <c r="G371" t="s">
        <v>1</v>
      </c>
      <c r="H371" t="s">
        <v>41</v>
      </c>
      <c r="I371" t="s">
        <v>103</v>
      </c>
      <c r="J371" t="s">
        <v>256</v>
      </c>
      <c r="K371">
        <v>60707</v>
      </c>
      <c r="L371" t="s">
        <v>5</v>
      </c>
      <c r="M371" t="s">
        <v>6</v>
      </c>
      <c r="N371" s="2">
        <v>0.58680555555555558</v>
      </c>
      <c r="O371" s="2">
        <v>0.58750000000000002</v>
      </c>
      <c r="P371" s="2">
        <v>0.58958333333333335</v>
      </c>
      <c r="Q371" s="2">
        <v>0.60763888888888884</v>
      </c>
      <c r="R371" s="2">
        <v>0.61736111111111114</v>
      </c>
      <c r="S371" s="2">
        <v>0.62847222222222221</v>
      </c>
      <c r="T371" t="s">
        <v>43</v>
      </c>
      <c r="U371" t="s">
        <v>32</v>
      </c>
      <c r="V371" t="s">
        <v>86</v>
      </c>
      <c r="X371" t="s">
        <v>252</v>
      </c>
      <c r="Y371" t="s">
        <v>48</v>
      </c>
      <c r="Z371">
        <v>3</v>
      </c>
      <c r="AA371">
        <v>2</v>
      </c>
      <c r="AB371" t="s">
        <v>11</v>
      </c>
      <c r="AC371" t="s">
        <v>12</v>
      </c>
      <c r="AD371" t="s">
        <v>20</v>
      </c>
      <c r="AE371" t="s">
        <v>29</v>
      </c>
      <c r="AF371" s="1">
        <v>27877</v>
      </c>
      <c r="AG371">
        <f t="shared" ca="1" si="17"/>
        <v>49</v>
      </c>
    </row>
    <row r="372" spans="1:33" x14ac:dyDescent="0.2">
      <c r="A372" s="1">
        <v>46035</v>
      </c>
      <c r="B372" t="str">
        <f t="shared" si="15"/>
        <v>mardi</v>
      </c>
      <c r="C372" t="str">
        <f t="shared" si="16"/>
        <v>Jour</v>
      </c>
      <c r="D372">
        <v>1492807</v>
      </c>
      <c r="E372">
        <v>2586367</v>
      </c>
      <c r="F372" t="s">
        <v>15</v>
      </c>
      <c r="G372" t="s">
        <v>1</v>
      </c>
      <c r="H372" t="s">
        <v>41</v>
      </c>
      <c r="I372" t="s">
        <v>103</v>
      </c>
      <c r="J372" t="s">
        <v>4</v>
      </c>
      <c r="K372">
        <v>60707</v>
      </c>
      <c r="L372" t="s">
        <v>5</v>
      </c>
      <c r="M372" t="s">
        <v>6</v>
      </c>
      <c r="N372" s="2">
        <v>0.75138888888888888</v>
      </c>
      <c r="O372" s="2">
        <v>0.75208333333333333</v>
      </c>
      <c r="P372" s="2">
        <v>0.75694444444444442</v>
      </c>
      <c r="Q372" s="2">
        <v>0.7680555555555556</v>
      </c>
      <c r="R372" s="2">
        <v>0.77777777777777779</v>
      </c>
      <c r="S372" s="2">
        <v>0.80555555555555558</v>
      </c>
      <c r="T372" t="s">
        <v>141</v>
      </c>
      <c r="U372" t="s">
        <v>32</v>
      </c>
      <c r="V372" t="s">
        <v>8</v>
      </c>
      <c r="X372" t="s">
        <v>214</v>
      </c>
      <c r="Y372" t="s">
        <v>215</v>
      </c>
      <c r="Z372">
        <v>1</v>
      </c>
      <c r="AA372">
        <v>4</v>
      </c>
      <c r="AB372" t="s">
        <v>11</v>
      </c>
      <c r="AC372" t="s">
        <v>12</v>
      </c>
      <c r="AD372" t="s">
        <v>20</v>
      </c>
      <c r="AE372" t="s">
        <v>29</v>
      </c>
      <c r="AF372" s="1">
        <v>14474</v>
      </c>
      <c r="AG372">
        <f t="shared" ca="1" si="17"/>
        <v>86</v>
      </c>
    </row>
    <row r="373" spans="1:33" x14ac:dyDescent="0.2">
      <c r="A373" s="1">
        <v>46035</v>
      </c>
      <c r="B373" t="str">
        <f t="shared" si="15"/>
        <v>mardi</v>
      </c>
      <c r="C373" t="str">
        <f t="shared" si="16"/>
        <v>Nuit</v>
      </c>
      <c r="D373">
        <v>1494184</v>
      </c>
      <c r="E373">
        <v>2586467</v>
      </c>
      <c r="F373" t="s">
        <v>45</v>
      </c>
      <c r="G373" t="s">
        <v>1</v>
      </c>
      <c r="H373" t="s">
        <v>239</v>
      </c>
      <c r="I373" t="s">
        <v>99</v>
      </c>
      <c r="J373" t="s">
        <v>4</v>
      </c>
      <c r="K373">
        <v>60708</v>
      </c>
      <c r="L373" t="s">
        <v>61</v>
      </c>
      <c r="M373" t="s">
        <v>195</v>
      </c>
      <c r="N373" s="2">
        <v>6.3888888888888884E-2</v>
      </c>
      <c r="O373" s="2">
        <v>6.458333333333334E-2</v>
      </c>
      <c r="P373" s="2">
        <v>7.4305555555555555E-2</v>
      </c>
      <c r="Q373" s="2">
        <v>8.9583333333333334E-2</v>
      </c>
      <c r="R373" s="2">
        <v>0.10416666666666667</v>
      </c>
      <c r="S373" s="2">
        <v>0.125</v>
      </c>
      <c r="T373" t="s">
        <v>7</v>
      </c>
      <c r="U373" t="s">
        <v>250</v>
      </c>
      <c r="V373" t="s">
        <v>8</v>
      </c>
      <c r="X373" t="s">
        <v>9</v>
      </c>
      <c r="Y373" t="s">
        <v>10</v>
      </c>
      <c r="Z373">
        <v>2</v>
      </c>
      <c r="AA373">
        <v>3</v>
      </c>
      <c r="AB373" t="s">
        <v>11</v>
      </c>
      <c r="AC373" t="s">
        <v>12</v>
      </c>
      <c r="AD373" t="s">
        <v>13</v>
      </c>
      <c r="AE373" t="s">
        <v>29</v>
      </c>
      <c r="AF373" s="1">
        <v>27291</v>
      </c>
      <c r="AG373">
        <f t="shared" ca="1" si="17"/>
        <v>51</v>
      </c>
    </row>
    <row r="374" spans="1:33" x14ac:dyDescent="0.2">
      <c r="A374" s="1">
        <v>46034</v>
      </c>
      <c r="B374" t="str">
        <f t="shared" si="15"/>
        <v>lundi</v>
      </c>
      <c r="C374" t="str">
        <f t="shared" si="16"/>
        <v>Nuit</v>
      </c>
      <c r="D374">
        <v>1492808</v>
      </c>
      <c r="E374">
        <v>2586404</v>
      </c>
      <c r="F374" t="s">
        <v>0</v>
      </c>
      <c r="G374" t="s">
        <v>16</v>
      </c>
      <c r="H374" t="s">
        <v>111</v>
      </c>
      <c r="I374" t="s">
        <v>203</v>
      </c>
      <c r="J374" t="s">
        <v>4</v>
      </c>
      <c r="K374">
        <v>60707</v>
      </c>
      <c r="L374" t="s">
        <v>5</v>
      </c>
      <c r="M374" t="s">
        <v>6</v>
      </c>
      <c r="N374" s="2">
        <v>0.83402777777777781</v>
      </c>
      <c r="O374" s="2">
        <v>0.8354166666666667</v>
      </c>
      <c r="P374" s="2">
        <v>0.84236111111111112</v>
      </c>
      <c r="S374" s="2">
        <v>0.86805555555555558</v>
      </c>
      <c r="T374" t="s">
        <v>7</v>
      </c>
      <c r="U374" t="s">
        <v>32</v>
      </c>
      <c r="V374" t="s">
        <v>47</v>
      </c>
      <c r="W374" t="s">
        <v>199</v>
      </c>
      <c r="X374" t="s">
        <v>88</v>
      </c>
      <c r="Y374" t="s">
        <v>51</v>
      </c>
      <c r="Z374">
        <v>4</v>
      </c>
      <c r="AA374">
        <v>1</v>
      </c>
      <c r="AB374" t="s">
        <v>11</v>
      </c>
      <c r="AC374" t="s">
        <v>28</v>
      </c>
      <c r="AD374" t="s">
        <v>20</v>
      </c>
      <c r="AE374" t="s">
        <v>14</v>
      </c>
      <c r="AF374" s="1">
        <v>29568</v>
      </c>
      <c r="AG374">
        <f t="shared" ca="1" si="17"/>
        <v>45</v>
      </c>
    </row>
    <row r="375" spans="1:33" x14ac:dyDescent="0.2">
      <c r="A375" s="1">
        <v>46034</v>
      </c>
      <c r="B375" t="str">
        <f t="shared" si="15"/>
        <v>lundi</v>
      </c>
      <c r="C375" t="str">
        <f t="shared" si="16"/>
        <v>Jour</v>
      </c>
      <c r="D375">
        <v>1500227</v>
      </c>
      <c r="E375">
        <v>2586344</v>
      </c>
      <c r="F375" t="s">
        <v>56</v>
      </c>
      <c r="G375" t="s">
        <v>1</v>
      </c>
      <c r="H375" t="s">
        <v>131</v>
      </c>
      <c r="I375" t="s">
        <v>55</v>
      </c>
      <c r="J375" t="s">
        <v>4</v>
      </c>
      <c r="K375">
        <v>60709</v>
      </c>
      <c r="L375" t="s">
        <v>5</v>
      </c>
      <c r="M375" t="s">
        <v>6</v>
      </c>
      <c r="N375" s="2">
        <v>0.67847222222222225</v>
      </c>
      <c r="O375" s="2">
        <v>0.6791666666666667</v>
      </c>
      <c r="P375" s="2">
        <v>0.68194444444444446</v>
      </c>
      <c r="Q375" s="2">
        <v>0.69722222222222219</v>
      </c>
      <c r="R375" s="2">
        <v>0.70486111111111116</v>
      </c>
      <c r="S375" s="2">
        <v>0.73263888888888884</v>
      </c>
      <c r="T375" t="s">
        <v>125</v>
      </c>
      <c r="U375" t="s">
        <v>32</v>
      </c>
      <c r="V375" t="s">
        <v>8</v>
      </c>
      <c r="X375" t="s">
        <v>190</v>
      </c>
      <c r="Y375" t="s">
        <v>191</v>
      </c>
      <c r="Z375">
        <v>2</v>
      </c>
      <c r="AA375">
        <v>4</v>
      </c>
      <c r="AB375" t="s">
        <v>11</v>
      </c>
      <c r="AC375" t="s">
        <v>12</v>
      </c>
      <c r="AD375" t="s">
        <v>20</v>
      </c>
      <c r="AE375" t="s">
        <v>29</v>
      </c>
      <c r="AF375" s="1">
        <v>20783</v>
      </c>
      <c r="AG375">
        <f t="shared" ca="1" si="17"/>
        <v>69</v>
      </c>
    </row>
    <row r="376" spans="1:33" x14ac:dyDescent="0.2">
      <c r="A376" s="1">
        <v>46034</v>
      </c>
      <c r="B376" t="str">
        <f t="shared" si="15"/>
        <v>lundi</v>
      </c>
      <c r="C376" t="str">
        <f t="shared" si="16"/>
        <v>Jour</v>
      </c>
      <c r="D376">
        <v>1492806</v>
      </c>
      <c r="E376">
        <v>2586328</v>
      </c>
      <c r="F376" t="s">
        <v>15</v>
      </c>
      <c r="G376" t="s">
        <v>1</v>
      </c>
      <c r="H376" t="s">
        <v>103</v>
      </c>
      <c r="I376" t="s">
        <v>41</v>
      </c>
      <c r="J376" t="s">
        <v>4</v>
      </c>
      <c r="K376">
        <v>60707</v>
      </c>
      <c r="L376" t="s">
        <v>5</v>
      </c>
      <c r="M376" t="s">
        <v>6</v>
      </c>
      <c r="N376" s="2">
        <v>0.64722222222222225</v>
      </c>
      <c r="O376" s="2">
        <v>0.64722222222222225</v>
      </c>
      <c r="P376" s="2">
        <v>0.64930555555555558</v>
      </c>
      <c r="Q376" s="2">
        <v>0.67013888888888884</v>
      </c>
      <c r="R376" s="2">
        <v>0.67777777777777781</v>
      </c>
      <c r="S376" s="2">
        <v>0.69791666666666663</v>
      </c>
      <c r="T376" t="s">
        <v>7</v>
      </c>
      <c r="U376" t="s">
        <v>32</v>
      </c>
      <c r="V376" t="s">
        <v>8</v>
      </c>
      <c r="X376" t="s">
        <v>209</v>
      </c>
      <c r="Y376" t="s">
        <v>80</v>
      </c>
      <c r="Z376">
        <v>1</v>
      </c>
      <c r="AA376">
        <v>4</v>
      </c>
      <c r="AB376" t="s">
        <v>11</v>
      </c>
      <c r="AC376" t="s">
        <v>12</v>
      </c>
      <c r="AD376" t="s">
        <v>20</v>
      </c>
      <c r="AE376" t="s">
        <v>14</v>
      </c>
      <c r="AF376" s="1">
        <v>11877</v>
      </c>
      <c r="AG376">
        <f t="shared" ca="1" si="17"/>
        <v>93</v>
      </c>
    </row>
    <row r="377" spans="1:33" x14ac:dyDescent="0.2">
      <c r="A377" s="1">
        <v>46034</v>
      </c>
      <c r="B377" t="str">
        <f t="shared" si="15"/>
        <v>lundi</v>
      </c>
      <c r="C377" t="str">
        <f t="shared" si="16"/>
        <v>Jour</v>
      </c>
      <c r="D377">
        <v>1500393</v>
      </c>
      <c r="E377">
        <v>2560992</v>
      </c>
      <c r="F377" t="s">
        <v>25</v>
      </c>
      <c r="G377" t="s">
        <v>25</v>
      </c>
      <c r="H377" t="s">
        <v>189</v>
      </c>
      <c r="I377" t="s">
        <v>115</v>
      </c>
      <c r="J377" t="s">
        <v>4</v>
      </c>
      <c r="K377">
        <v>60704</v>
      </c>
      <c r="L377" t="s">
        <v>5</v>
      </c>
      <c r="M377" t="s">
        <v>6</v>
      </c>
      <c r="N377" s="2">
        <v>0.41944444444444445</v>
      </c>
      <c r="O377" s="2">
        <v>0.42638888888888887</v>
      </c>
      <c r="P377" s="2">
        <v>0.43055555555555558</v>
      </c>
      <c r="Q377" s="2">
        <v>0.44374999999999998</v>
      </c>
      <c r="R377" s="2">
        <v>0.45069444444444445</v>
      </c>
      <c r="S377" s="2">
        <v>0.46527777777777779</v>
      </c>
      <c r="T377" t="s">
        <v>64</v>
      </c>
      <c r="U377" t="s">
        <v>263</v>
      </c>
      <c r="V377" t="s">
        <v>8</v>
      </c>
      <c r="X377" t="s">
        <v>200</v>
      </c>
      <c r="Y377" t="s">
        <v>51</v>
      </c>
      <c r="Z377">
        <v>2</v>
      </c>
      <c r="AA377">
        <v>4</v>
      </c>
      <c r="AB377" t="s">
        <v>11</v>
      </c>
      <c r="AC377" t="s">
        <v>12</v>
      </c>
      <c r="AD377" t="s">
        <v>36</v>
      </c>
      <c r="AE377" t="s">
        <v>14</v>
      </c>
      <c r="AF377" s="1">
        <v>34368</v>
      </c>
      <c r="AG377">
        <f t="shared" ca="1" si="17"/>
        <v>32</v>
      </c>
    </row>
    <row r="378" spans="1:33" x14ac:dyDescent="0.2">
      <c r="A378" s="1">
        <v>46034</v>
      </c>
      <c r="B378" t="str">
        <f t="shared" si="15"/>
        <v>lundi</v>
      </c>
      <c r="C378" t="str">
        <f t="shared" si="16"/>
        <v>Jour</v>
      </c>
      <c r="D378">
        <v>1500395</v>
      </c>
      <c r="E378">
        <v>2586325</v>
      </c>
      <c r="F378" t="s">
        <v>25</v>
      </c>
      <c r="G378" t="s">
        <v>25</v>
      </c>
      <c r="H378" t="s">
        <v>189</v>
      </c>
      <c r="I378" t="s">
        <v>115</v>
      </c>
      <c r="J378" t="s">
        <v>4</v>
      </c>
      <c r="K378">
        <v>60704</v>
      </c>
      <c r="L378" t="s">
        <v>5</v>
      </c>
      <c r="M378" t="s">
        <v>6</v>
      </c>
      <c r="N378" s="2">
        <v>0.63958333333333328</v>
      </c>
      <c r="O378" s="2">
        <v>0.64583333333333337</v>
      </c>
      <c r="P378" s="2">
        <v>0.65208333333333335</v>
      </c>
      <c r="Q378" s="2">
        <v>0.68055555555555558</v>
      </c>
      <c r="R378" s="2">
        <v>0.70277777777777772</v>
      </c>
      <c r="S378" s="2">
        <v>0.71180555555555558</v>
      </c>
      <c r="T378" t="s">
        <v>7</v>
      </c>
      <c r="U378" t="s">
        <v>32</v>
      </c>
      <c r="V378" t="s">
        <v>8</v>
      </c>
      <c r="X378" t="s">
        <v>214</v>
      </c>
      <c r="Y378" t="s">
        <v>215</v>
      </c>
      <c r="Z378">
        <v>3</v>
      </c>
      <c r="AA378">
        <v>3</v>
      </c>
      <c r="AB378" t="s">
        <v>11</v>
      </c>
      <c r="AC378" t="s">
        <v>12</v>
      </c>
      <c r="AD378" t="s">
        <v>20</v>
      </c>
      <c r="AE378" t="s">
        <v>14</v>
      </c>
      <c r="AF378" s="1">
        <v>26441</v>
      </c>
      <c r="AG378">
        <f t="shared" ca="1" si="17"/>
        <v>53</v>
      </c>
    </row>
    <row r="379" spans="1:33" x14ac:dyDescent="0.2">
      <c r="A379" s="1">
        <v>46034</v>
      </c>
      <c r="B379" t="str">
        <f t="shared" si="15"/>
        <v>lundi</v>
      </c>
      <c r="C379" t="str">
        <f t="shared" si="16"/>
        <v>Jour</v>
      </c>
      <c r="D379">
        <v>1500490</v>
      </c>
      <c r="E379">
        <v>2586277</v>
      </c>
      <c r="F379" t="s">
        <v>21</v>
      </c>
      <c r="G379" t="s">
        <v>16</v>
      </c>
      <c r="H379" t="s">
        <v>23</v>
      </c>
      <c r="I379" t="s">
        <v>202</v>
      </c>
      <c r="J379" t="s">
        <v>4</v>
      </c>
      <c r="K379">
        <v>60706</v>
      </c>
      <c r="L379" t="s">
        <v>5</v>
      </c>
      <c r="M379" t="s">
        <v>6</v>
      </c>
      <c r="N379" s="2">
        <v>0.52986111111111112</v>
      </c>
      <c r="O379" s="2">
        <v>0.53194444444444444</v>
      </c>
      <c r="P379" s="2">
        <v>0.54097222222222219</v>
      </c>
      <c r="Q379" s="2">
        <v>0.5444444444444444</v>
      </c>
      <c r="R379" s="2">
        <v>0.55000000000000004</v>
      </c>
      <c r="S379" s="2">
        <v>0.57222222222222219</v>
      </c>
      <c r="T379" t="s">
        <v>43</v>
      </c>
      <c r="U379" t="s">
        <v>251</v>
      </c>
      <c r="V379" t="s">
        <v>8</v>
      </c>
      <c r="X379" t="s">
        <v>192</v>
      </c>
      <c r="Y379" t="s">
        <v>198</v>
      </c>
      <c r="Z379">
        <v>2</v>
      </c>
      <c r="AA379">
        <v>2</v>
      </c>
      <c r="AB379" t="s">
        <v>11</v>
      </c>
      <c r="AC379" t="s">
        <v>28</v>
      </c>
      <c r="AD379" t="s">
        <v>20</v>
      </c>
      <c r="AE379" t="s">
        <v>29</v>
      </c>
      <c r="AF379" s="1">
        <v>13696</v>
      </c>
      <c r="AG379">
        <f t="shared" ca="1" si="17"/>
        <v>88</v>
      </c>
    </row>
    <row r="380" spans="1:33" x14ac:dyDescent="0.2">
      <c r="A380" s="1">
        <v>46034</v>
      </c>
      <c r="B380" t="str">
        <f t="shared" si="15"/>
        <v>lundi</v>
      </c>
      <c r="C380" t="str">
        <f t="shared" si="16"/>
        <v>Jour</v>
      </c>
      <c r="D380">
        <v>1492804</v>
      </c>
      <c r="E380">
        <v>2586260</v>
      </c>
      <c r="F380" t="s">
        <v>15</v>
      </c>
      <c r="G380" t="s">
        <v>92</v>
      </c>
      <c r="H380" t="s">
        <v>103</v>
      </c>
      <c r="I380" t="s">
        <v>41</v>
      </c>
      <c r="J380" t="s">
        <v>256</v>
      </c>
      <c r="K380">
        <v>60707</v>
      </c>
      <c r="L380" t="s">
        <v>5</v>
      </c>
      <c r="M380" t="s">
        <v>6</v>
      </c>
      <c r="N380" s="2">
        <v>0.4909722222222222</v>
      </c>
      <c r="O380" s="2">
        <v>0.49236111111111114</v>
      </c>
      <c r="P380" s="2">
        <v>0.49583333333333335</v>
      </c>
      <c r="Q380" s="2">
        <v>0.50902777777777775</v>
      </c>
      <c r="R380" s="2">
        <v>0.51597222222222228</v>
      </c>
      <c r="S380" s="2">
        <v>0.53472222222222221</v>
      </c>
      <c r="T380" t="s">
        <v>8</v>
      </c>
      <c r="U380" t="s">
        <v>32</v>
      </c>
      <c r="V380" t="s">
        <v>8</v>
      </c>
      <c r="X380" t="s">
        <v>214</v>
      </c>
      <c r="Y380" t="s">
        <v>215</v>
      </c>
      <c r="Z380">
        <v>1</v>
      </c>
      <c r="AA380">
        <v>4</v>
      </c>
      <c r="AB380" t="s">
        <v>11</v>
      </c>
      <c r="AC380" t="s">
        <v>12</v>
      </c>
      <c r="AD380" t="s">
        <v>20</v>
      </c>
      <c r="AE380" t="s">
        <v>14</v>
      </c>
      <c r="AF380" s="1">
        <v>16689</v>
      </c>
      <c r="AG380">
        <f t="shared" ca="1" si="17"/>
        <v>80</v>
      </c>
    </row>
    <row r="381" spans="1:33" x14ac:dyDescent="0.2">
      <c r="A381" s="1">
        <v>46034</v>
      </c>
      <c r="B381" t="str">
        <f t="shared" si="15"/>
        <v>lundi</v>
      </c>
      <c r="C381" t="str">
        <f t="shared" si="16"/>
        <v>Jour</v>
      </c>
      <c r="D381">
        <v>1500225</v>
      </c>
      <c r="E381">
        <v>25286262</v>
      </c>
      <c r="F381" t="s">
        <v>56</v>
      </c>
      <c r="G381" t="s">
        <v>16</v>
      </c>
      <c r="H381" t="s">
        <v>131</v>
      </c>
      <c r="I381" t="s">
        <v>55</v>
      </c>
      <c r="J381" t="s">
        <v>4</v>
      </c>
      <c r="K381">
        <v>60709</v>
      </c>
      <c r="L381" t="s">
        <v>5</v>
      </c>
      <c r="M381" t="s">
        <v>6</v>
      </c>
      <c r="N381" s="2">
        <v>0.49305555555555558</v>
      </c>
      <c r="O381" s="2">
        <v>0.49513888888888891</v>
      </c>
      <c r="P381" s="2">
        <v>0.50416666666666665</v>
      </c>
      <c r="Q381" s="2">
        <v>0.52569444444444446</v>
      </c>
      <c r="R381" s="2">
        <v>0.53333333333333333</v>
      </c>
      <c r="S381" s="2">
        <v>0.55069444444444449</v>
      </c>
      <c r="T381" t="s">
        <v>7</v>
      </c>
      <c r="U381" t="s">
        <v>32</v>
      </c>
      <c r="V381" t="s">
        <v>8</v>
      </c>
      <c r="X381" t="s">
        <v>190</v>
      </c>
      <c r="Y381" t="s">
        <v>191</v>
      </c>
      <c r="Z381">
        <v>3</v>
      </c>
      <c r="AA381">
        <v>3</v>
      </c>
      <c r="AB381" t="s">
        <v>11</v>
      </c>
      <c r="AC381" t="s">
        <v>12</v>
      </c>
      <c r="AD381" t="s">
        <v>20</v>
      </c>
      <c r="AE381" t="s">
        <v>14</v>
      </c>
      <c r="AF381" s="1">
        <v>11720</v>
      </c>
      <c r="AG381">
        <f t="shared" ca="1" si="17"/>
        <v>94</v>
      </c>
    </row>
    <row r="382" spans="1:33" x14ac:dyDescent="0.2">
      <c r="A382" s="1">
        <v>46034</v>
      </c>
      <c r="B382" t="str">
        <f t="shared" si="15"/>
        <v>lundi</v>
      </c>
      <c r="C382" t="str">
        <f t="shared" si="16"/>
        <v>Jour</v>
      </c>
      <c r="D382">
        <v>1500394</v>
      </c>
      <c r="E382">
        <v>2586255</v>
      </c>
      <c r="F382" t="s">
        <v>25</v>
      </c>
      <c r="G382" t="s">
        <v>25</v>
      </c>
      <c r="H382" t="s">
        <v>115</v>
      </c>
      <c r="I382" t="s">
        <v>189</v>
      </c>
      <c r="J382" t="s">
        <v>4</v>
      </c>
      <c r="K382">
        <v>60704</v>
      </c>
      <c r="L382" t="s">
        <v>5</v>
      </c>
      <c r="M382" t="s">
        <v>6</v>
      </c>
      <c r="N382" s="2">
        <v>0.48402777777777778</v>
      </c>
      <c r="O382" s="2">
        <v>0.48749999999999999</v>
      </c>
      <c r="S382" s="2">
        <v>0.49861111111111112</v>
      </c>
      <c r="T382" t="s">
        <v>87</v>
      </c>
      <c r="U382" t="s">
        <v>251</v>
      </c>
      <c r="V382" t="s">
        <v>47</v>
      </c>
      <c r="W382" t="s">
        <v>199</v>
      </c>
      <c r="X382" t="s">
        <v>252</v>
      </c>
      <c r="Y382" t="s">
        <v>48</v>
      </c>
      <c r="Z382">
        <v>3</v>
      </c>
      <c r="AA382">
        <v>2</v>
      </c>
      <c r="AB382" t="s">
        <v>11</v>
      </c>
      <c r="AC382" t="s">
        <v>12</v>
      </c>
      <c r="AD382" t="s">
        <v>20</v>
      </c>
      <c r="AE382" t="s">
        <v>14</v>
      </c>
      <c r="AF382" s="1">
        <v>36095</v>
      </c>
      <c r="AG382">
        <f t="shared" ca="1" si="17"/>
        <v>27</v>
      </c>
    </row>
    <row r="383" spans="1:33" x14ac:dyDescent="0.2">
      <c r="A383" s="1">
        <v>46034</v>
      </c>
      <c r="B383" t="str">
        <f t="shared" si="15"/>
        <v>lundi</v>
      </c>
      <c r="C383" t="str">
        <f t="shared" si="16"/>
        <v>Nuit</v>
      </c>
      <c r="D383">
        <v>1500488</v>
      </c>
      <c r="E383">
        <v>2586198</v>
      </c>
      <c r="F383" t="s">
        <v>21</v>
      </c>
      <c r="G383" t="s">
        <v>16</v>
      </c>
      <c r="H383" t="s">
        <v>23</v>
      </c>
      <c r="I383" t="s">
        <v>202</v>
      </c>
      <c r="J383" t="s">
        <v>4</v>
      </c>
      <c r="K383">
        <v>60706</v>
      </c>
      <c r="L383" t="s">
        <v>5</v>
      </c>
      <c r="M383" t="s">
        <v>6</v>
      </c>
      <c r="N383" s="2">
        <v>0.28611111111111109</v>
      </c>
      <c r="O383" s="2">
        <v>0.28680555555555554</v>
      </c>
      <c r="P383" s="2">
        <v>0.29305555555555557</v>
      </c>
      <c r="Q383" s="2">
        <v>0.3125</v>
      </c>
      <c r="R383" s="2">
        <v>0.31874999999999998</v>
      </c>
      <c r="S383" s="2">
        <v>0.34166666666666667</v>
      </c>
      <c r="T383" t="s">
        <v>43</v>
      </c>
      <c r="U383" t="s">
        <v>251</v>
      </c>
      <c r="V383" t="s">
        <v>8</v>
      </c>
      <c r="X383" t="s">
        <v>192</v>
      </c>
      <c r="Y383" t="s">
        <v>193</v>
      </c>
      <c r="Z383">
        <v>2</v>
      </c>
      <c r="AA383">
        <v>2</v>
      </c>
      <c r="AB383" t="s">
        <v>11</v>
      </c>
      <c r="AC383" t="s">
        <v>28</v>
      </c>
      <c r="AD383" t="s">
        <v>260</v>
      </c>
      <c r="AE383" t="s">
        <v>29</v>
      </c>
      <c r="AF383" s="1">
        <v>25389</v>
      </c>
      <c r="AG383">
        <f t="shared" ca="1" si="17"/>
        <v>56</v>
      </c>
    </row>
    <row r="384" spans="1:33" x14ac:dyDescent="0.2">
      <c r="A384" s="1">
        <v>46034</v>
      </c>
      <c r="B384" t="str">
        <f t="shared" si="15"/>
        <v>lundi</v>
      </c>
      <c r="C384" t="str">
        <f t="shared" si="16"/>
        <v>Jour</v>
      </c>
      <c r="D384">
        <v>1492803</v>
      </c>
      <c r="E384">
        <v>2586084</v>
      </c>
      <c r="F384" t="s">
        <v>15</v>
      </c>
      <c r="G384" t="s">
        <v>16</v>
      </c>
      <c r="H384" t="s">
        <v>103</v>
      </c>
      <c r="I384" t="s">
        <v>239</v>
      </c>
      <c r="J384" t="s">
        <v>4</v>
      </c>
      <c r="K384">
        <v>60707</v>
      </c>
      <c r="L384" t="s">
        <v>5</v>
      </c>
      <c r="M384" t="s">
        <v>6</v>
      </c>
      <c r="N384" s="2">
        <v>0.72222222222222221</v>
      </c>
      <c r="O384" s="2">
        <v>0.72291666666666665</v>
      </c>
      <c r="P384" s="2">
        <v>0.72569444444444442</v>
      </c>
      <c r="Q384" s="2">
        <v>0.7583333333333333</v>
      </c>
      <c r="R384" s="2">
        <v>0.76736111111111116</v>
      </c>
      <c r="S384" s="2">
        <v>0.79166666666666663</v>
      </c>
      <c r="T384" t="s">
        <v>7</v>
      </c>
      <c r="U384" t="s">
        <v>265</v>
      </c>
      <c r="V384" t="s">
        <v>8</v>
      </c>
      <c r="X384" t="s">
        <v>214</v>
      </c>
      <c r="Y384" t="s">
        <v>215</v>
      </c>
      <c r="Z384">
        <v>1</v>
      </c>
      <c r="AA384">
        <v>4</v>
      </c>
      <c r="AB384" t="s">
        <v>11</v>
      </c>
      <c r="AC384" t="s">
        <v>12</v>
      </c>
      <c r="AD384" t="s">
        <v>20</v>
      </c>
      <c r="AE384" t="s">
        <v>14</v>
      </c>
      <c r="AF384" s="1">
        <v>17552</v>
      </c>
      <c r="AG384">
        <f t="shared" ca="1" si="17"/>
        <v>78</v>
      </c>
    </row>
    <row r="385" spans="1:33" x14ac:dyDescent="0.2">
      <c r="A385" s="1">
        <v>46033</v>
      </c>
      <c r="B385" t="str">
        <f t="shared" si="15"/>
        <v>dimanche</v>
      </c>
      <c r="C385" t="str">
        <f t="shared" si="16"/>
        <v>Nuit</v>
      </c>
      <c r="D385">
        <v>1500221</v>
      </c>
      <c r="E385">
        <v>2586137</v>
      </c>
      <c r="F385" t="s">
        <v>0</v>
      </c>
      <c r="G385" t="s">
        <v>16</v>
      </c>
      <c r="H385" t="s">
        <v>22</v>
      </c>
      <c r="I385" t="s">
        <v>203</v>
      </c>
      <c r="J385" t="s">
        <v>4</v>
      </c>
      <c r="K385">
        <v>60709</v>
      </c>
      <c r="L385" t="s">
        <v>5</v>
      </c>
      <c r="M385" t="s">
        <v>6</v>
      </c>
      <c r="N385" s="2">
        <v>0.90208333333333335</v>
      </c>
      <c r="O385" s="2">
        <v>0.90347222222222223</v>
      </c>
      <c r="P385" s="2">
        <v>0.90763888888888888</v>
      </c>
      <c r="Q385" s="2">
        <v>0.92013888888888884</v>
      </c>
      <c r="R385" s="2">
        <v>0.92708333333333337</v>
      </c>
      <c r="S385" s="2">
        <v>0.94791666666666663</v>
      </c>
      <c r="T385" t="s">
        <v>24</v>
      </c>
      <c r="U385" t="s">
        <v>265</v>
      </c>
      <c r="V385" t="s">
        <v>8</v>
      </c>
      <c r="X385" t="s">
        <v>214</v>
      </c>
      <c r="Y385" t="s">
        <v>215</v>
      </c>
      <c r="Z385">
        <v>3</v>
      </c>
      <c r="AA385">
        <v>3</v>
      </c>
      <c r="AB385" t="s">
        <v>11</v>
      </c>
      <c r="AC385" t="s">
        <v>12</v>
      </c>
      <c r="AD385" t="s">
        <v>20</v>
      </c>
      <c r="AE385" t="s">
        <v>14</v>
      </c>
      <c r="AF385" s="1">
        <v>25839</v>
      </c>
      <c r="AG385">
        <f t="shared" ca="1" si="17"/>
        <v>55</v>
      </c>
    </row>
    <row r="386" spans="1:33" x14ac:dyDescent="0.2">
      <c r="A386" s="1">
        <v>46023</v>
      </c>
      <c r="B386" t="str">
        <f t="shared" ref="B386:B449" si="18">TEXT(A386,"JJJJ")</f>
        <v>jeudi</v>
      </c>
      <c r="C386" t="str">
        <f t="shared" ref="C386:C449" si="19">IF(AND(HOUR(N386)&gt;=7,HOUR(N386)&lt;=19),"Jour","Nuit")</f>
        <v>Nuit</v>
      </c>
      <c r="D386">
        <v>1500324</v>
      </c>
      <c r="E386">
        <v>2583292</v>
      </c>
      <c r="F386" t="s">
        <v>0</v>
      </c>
      <c r="G386" t="s">
        <v>16</v>
      </c>
      <c r="H386" t="s">
        <v>22</v>
      </c>
      <c r="I386" t="s">
        <v>37</v>
      </c>
      <c r="J386" t="s">
        <v>4</v>
      </c>
      <c r="K386">
        <v>60709</v>
      </c>
      <c r="L386" t="s">
        <v>5</v>
      </c>
      <c r="M386" t="s">
        <v>6</v>
      </c>
      <c r="N386" s="2">
        <v>5.6944444444444443E-2</v>
      </c>
      <c r="O386" s="2">
        <v>5.6944444444444443E-2</v>
      </c>
      <c r="P386" s="2">
        <v>6.3194444444444442E-2</v>
      </c>
      <c r="Q386" s="2">
        <v>6.9444444444444448E-2</v>
      </c>
      <c r="R386" s="2">
        <v>7.7083333333333337E-2</v>
      </c>
      <c r="S386" s="2">
        <v>9.375E-2</v>
      </c>
      <c r="T386" t="s">
        <v>64</v>
      </c>
      <c r="U386" t="s">
        <v>251</v>
      </c>
      <c r="V386" t="s">
        <v>8</v>
      </c>
      <c r="X386" t="s">
        <v>31</v>
      </c>
      <c r="Y386" t="s">
        <v>123</v>
      </c>
      <c r="Z386">
        <v>2</v>
      </c>
      <c r="AA386">
        <v>2</v>
      </c>
      <c r="AB386" t="s">
        <v>11</v>
      </c>
      <c r="AC386" t="s">
        <v>12</v>
      </c>
      <c r="AD386" t="s">
        <v>20</v>
      </c>
      <c r="AE386" t="s">
        <v>29</v>
      </c>
      <c r="AF386" s="1">
        <v>33088</v>
      </c>
      <c r="AG386">
        <f t="shared" ref="AG386:AG449" ca="1" si="20">INT((TODAY()-AF386)/365.25)</f>
        <v>35</v>
      </c>
    </row>
    <row r="387" spans="1:33" x14ac:dyDescent="0.2">
      <c r="A387" s="1">
        <v>46033</v>
      </c>
      <c r="B387" t="str">
        <f t="shared" si="18"/>
        <v>dimanche</v>
      </c>
      <c r="C387" t="str">
        <f t="shared" si="19"/>
        <v>Nuit</v>
      </c>
      <c r="D387">
        <v>1500222</v>
      </c>
      <c r="E387">
        <v>2586149</v>
      </c>
      <c r="F387" t="s">
        <v>0</v>
      </c>
      <c r="G387" t="s">
        <v>16</v>
      </c>
      <c r="H387" t="s">
        <v>203</v>
      </c>
      <c r="I387" t="s">
        <v>22</v>
      </c>
      <c r="J387" t="s">
        <v>4</v>
      </c>
      <c r="K387">
        <v>60709</v>
      </c>
      <c r="L387" t="s">
        <v>5</v>
      </c>
      <c r="M387" t="s">
        <v>6</v>
      </c>
      <c r="N387" s="2">
        <v>0.95138888888888884</v>
      </c>
      <c r="O387" s="2">
        <v>0.95138888888888884</v>
      </c>
      <c r="P387" s="2">
        <v>0.9555555555555556</v>
      </c>
      <c r="Q387" s="2">
        <v>0.96666666666666667</v>
      </c>
      <c r="R387" s="2">
        <v>0.97638888888888886</v>
      </c>
      <c r="S387" s="2">
        <v>0.95625000000000004</v>
      </c>
      <c r="T387" t="s">
        <v>7</v>
      </c>
      <c r="U387" t="s">
        <v>32</v>
      </c>
      <c r="V387" t="s">
        <v>8</v>
      </c>
      <c r="X387" t="s">
        <v>19</v>
      </c>
      <c r="Y387" t="s">
        <v>211</v>
      </c>
      <c r="Z387">
        <v>1</v>
      </c>
      <c r="AA387">
        <v>4</v>
      </c>
      <c r="AB387" t="s">
        <v>11</v>
      </c>
      <c r="AC387" t="s">
        <v>12</v>
      </c>
      <c r="AD387" t="s">
        <v>20</v>
      </c>
      <c r="AE387" t="s">
        <v>14</v>
      </c>
      <c r="AF387" s="1">
        <v>34903</v>
      </c>
      <c r="AG387">
        <f t="shared" ca="1" si="20"/>
        <v>30</v>
      </c>
    </row>
    <row r="388" spans="1:33" x14ac:dyDescent="0.2">
      <c r="A388" s="1">
        <v>46033</v>
      </c>
      <c r="B388" t="str">
        <f t="shared" si="18"/>
        <v>dimanche</v>
      </c>
      <c r="C388" t="str">
        <f t="shared" si="19"/>
        <v>Jour</v>
      </c>
      <c r="D388">
        <v>1492801</v>
      </c>
      <c r="E388">
        <v>2586009</v>
      </c>
      <c r="F388" t="s">
        <v>15</v>
      </c>
      <c r="G388" t="s">
        <v>16</v>
      </c>
      <c r="H388" t="s">
        <v>103</v>
      </c>
      <c r="I388" t="s">
        <v>239</v>
      </c>
      <c r="J388" t="s">
        <v>4</v>
      </c>
      <c r="K388">
        <v>60707</v>
      </c>
      <c r="L388" t="s">
        <v>61</v>
      </c>
      <c r="M388" t="s">
        <v>253</v>
      </c>
      <c r="N388" s="2">
        <v>0.44722222222222224</v>
      </c>
      <c r="O388" s="2">
        <v>0.44791666666666669</v>
      </c>
      <c r="P388" s="2">
        <v>0.45</v>
      </c>
      <c r="Q388" s="2">
        <v>0.4777777777777778</v>
      </c>
      <c r="R388" s="2">
        <v>0.4826388888888889</v>
      </c>
      <c r="S388" s="2">
        <v>0.51041666666666663</v>
      </c>
      <c r="T388" t="s">
        <v>7</v>
      </c>
      <c r="U388" t="s">
        <v>32</v>
      </c>
      <c r="V388" t="s">
        <v>8</v>
      </c>
      <c r="X388" t="s">
        <v>9</v>
      </c>
      <c r="Y388" t="s">
        <v>59</v>
      </c>
      <c r="Z388">
        <v>1</v>
      </c>
      <c r="AA388">
        <v>4</v>
      </c>
      <c r="AB388" t="s">
        <v>11</v>
      </c>
      <c r="AC388" t="s">
        <v>12</v>
      </c>
      <c r="AD388" t="s">
        <v>13</v>
      </c>
      <c r="AE388" t="s">
        <v>29</v>
      </c>
      <c r="AF388" s="1">
        <v>30514</v>
      </c>
      <c r="AG388">
        <f t="shared" ca="1" si="20"/>
        <v>42</v>
      </c>
    </row>
    <row r="389" spans="1:33" x14ac:dyDescent="0.2">
      <c r="A389" s="1">
        <v>46033</v>
      </c>
      <c r="B389" t="str">
        <f t="shared" si="18"/>
        <v>dimanche</v>
      </c>
      <c r="C389" t="str">
        <f t="shared" si="19"/>
        <v>Jour</v>
      </c>
      <c r="D389">
        <v>1492802</v>
      </c>
      <c r="E389">
        <v>2586039</v>
      </c>
      <c r="F389" t="s">
        <v>15</v>
      </c>
      <c r="G389" t="s">
        <v>16</v>
      </c>
      <c r="H389" t="s">
        <v>239</v>
      </c>
      <c r="I389" t="s">
        <v>103</v>
      </c>
      <c r="J389" t="s">
        <v>4</v>
      </c>
      <c r="K389">
        <v>60707</v>
      </c>
      <c r="L389" t="s">
        <v>5</v>
      </c>
      <c r="M389" t="s">
        <v>6</v>
      </c>
      <c r="N389" s="2">
        <v>0.55972222222222223</v>
      </c>
      <c r="O389" s="2">
        <v>0.56111111111111112</v>
      </c>
      <c r="P389" s="2">
        <v>0.56736111111111109</v>
      </c>
      <c r="Q389" s="2">
        <v>0.58611111111111114</v>
      </c>
      <c r="R389" s="2">
        <v>0.59375</v>
      </c>
      <c r="S389" s="2">
        <v>0.625</v>
      </c>
      <c r="T389" t="s">
        <v>38</v>
      </c>
      <c r="U389" t="s">
        <v>265</v>
      </c>
      <c r="V389" t="s">
        <v>8</v>
      </c>
      <c r="X389" t="s">
        <v>33</v>
      </c>
      <c r="Y389" t="s">
        <v>262</v>
      </c>
      <c r="Z389">
        <v>3</v>
      </c>
      <c r="AA389">
        <v>3</v>
      </c>
      <c r="AB389" t="s">
        <v>11</v>
      </c>
      <c r="AC389" t="s">
        <v>12</v>
      </c>
      <c r="AD389" t="s">
        <v>20</v>
      </c>
      <c r="AE389" t="s">
        <v>29</v>
      </c>
      <c r="AF389" s="1">
        <v>35204</v>
      </c>
      <c r="AG389">
        <f t="shared" ca="1" si="20"/>
        <v>29</v>
      </c>
    </row>
    <row r="390" spans="1:33" x14ac:dyDescent="0.2">
      <c r="A390" s="1">
        <v>46033</v>
      </c>
      <c r="B390" t="str">
        <f t="shared" si="18"/>
        <v>dimanche</v>
      </c>
      <c r="C390" t="str">
        <f t="shared" si="19"/>
        <v>Jour</v>
      </c>
      <c r="D390">
        <v>1500487</v>
      </c>
      <c r="E390">
        <v>2586049</v>
      </c>
      <c r="F390" t="s">
        <v>21</v>
      </c>
      <c r="G390" t="s">
        <v>1</v>
      </c>
      <c r="H390" t="s">
        <v>99</v>
      </c>
      <c r="I390" t="s">
        <v>202</v>
      </c>
      <c r="J390" t="s">
        <v>4</v>
      </c>
      <c r="K390">
        <v>60706</v>
      </c>
      <c r="L390" t="s">
        <v>5</v>
      </c>
      <c r="M390" t="s">
        <v>6</v>
      </c>
      <c r="N390" s="2">
        <v>0.58333333333333337</v>
      </c>
      <c r="O390" s="2">
        <v>0.58472222222222225</v>
      </c>
      <c r="P390" s="2">
        <v>0.58611111111111114</v>
      </c>
      <c r="Q390" s="2">
        <v>0.6</v>
      </c>
      <c r="R390" s="2">
        <v>0.60555555555555551</v>
      </c>
      <c r="S390" s="2">
        <v>0.61597222222222225</v>
      </c>
      <c r="T390" t="s">
        <v>52</v>
      </c>
      <c r="U390" t="s">
        <v>251</v>
      </c>
      <c r="V390" t="s">
        <v>24</v>
      </c>
      <c r="X390" t="s">
        <v>9</v>
      </c>
      <c r="Y390" t="s">
        <v>10</v>
      </c>
      <c r="Z390">
        <v>3</v>
      </c>
      <c r="AA390">
        <v>2</v>
      </c>
      <c r="AB390" t="s">
        <v>11</v>
      </c>
      <c r="AC390" t="s">
        <v>12</v>
      </c>
      <c r="AD390" t="s">
        <v>20</v>
      </c>
      <c r="AE390" t="s">
        <v>14</v>
      </c>
      <c r="AF390" s="1">
        <v>25536</v>
      </c>
      <c r="AG390">
        <f t="shared" ca="1" si="20"/>
        <v>56</v>
      </c>
    </row>
    <row r="391" spans="1:33" x14ac:dyDescent="0.2">
      <c r="A391" s="1">
        <v>46033</v>
      </c>
      <c r="B391" t="str">
        <f t="shared" si="18"/>
        <v>dimanche</v>
      </c>
      <c r="C391" t="str">
        <f t="shared" si="19"/>
        <v>Jour</v>
      </c>
      <c r="D391">
        <v>1500486</v>
      </c>
      <c r="E391">
        <v>2586032</v>
      </c>
      <c r="F391" t="s">
        <v>21</v>
      </c>
      <c r="G391" t="s">
        <v>16</v>
      </c>
      <c r="H391" t="s">
        <v>202</v>
      </c>
      <c r="I391" t="s">
        <v>99</v>
      </c>
      <c r="J391" t="s">
        <v>4</v>
      </c>
      <c r="K391">
        <v>60706</v>
      </c>
      <c r="L391" t="s">
        <v>5</v>
      </c>
      <c r="M391" t="s">
        <v>6</v>
      </c>
      <c r="N391" s="2">
        <v>0.52222222222222225</v>
      </c>
      <c r="O391" s="2">
        <v>0.52361111111111114</v>
      </c>
      <c r="P391" s="2">
        <v>0.52777777777777779</v>
      </c>
      <c r="Q391" s="2">
        <v>0.54027777777777775</v>
      </c>
      <c r="R391" s="2">
        <v>0.54722222222222228</v>
      </c>
      <c r="S391" s="2">
        <v>0.56597222222222221</v>
      </c>
      <c r="T391" t="s">
        <v>43</v>
      </c>
      <c r="U391" t="s">
        <v>251</v>
      </c>
      <c r="V391" t="s">
        <v>8</v>
      </c>
      <c r="X391" t="s">
        <v>74</v>
      </c>
      <c r="Y391" t="s">
        <v>75</v>
      </c>
      <c r="Z391">
        <v>3</v>
      </c>
      <c r="AA391">
        <v>3</v>
      </c>
      <c r="AB391" t="s">
        <v>11</v>
      </c>
      <c r="AC391" t="s">
        <v>28</v>
      </c>
      <c r="AD391" t="s">
        <v>44</v>
      </c>
      <c r="AE391" t="s">
        <v>14</v>
      </c>
      <c r="AF391" s="1">
        <v>23331</v>
      </c>
      <c r="AG391">
        <f t="shared" ca="1" si="20"/>
        <v>62</v>
      </c>
    </row>
    <row r="392" spans="1:33" x14ac:dyDescent="0.2">
      <c r="A392" s="1">
        <v>46033</v>
      </c>
      <c r="B392" t="str">
        <f t="shared" si="18"/>
        <v>dimanche</v>
      </c>
      <c r="C392" t="str">
        <f t="shared" si="19"/>
        <v>Jour</v>
      </c>
      <c r="D392">
        <v>1500220</v>
      </c>
      <c r="E392">
        <v>2586023</v>
      </c>
      <c r="F392" t="s">
        <v>25</v>
      </c>
      <c r="G392" t="s">
        <v>25</v>
      </c>
      <c r="H392" t="s">
        <v>68</v>
      </c>
      <c r="I392" t="s">
        <v>197</v>
      </c>
      <c r="J392" t="s">
        <v>4</v>
      </c>
      <c r="K392">
        <v>60709</v>
      </c>
      <c r="L392" t="s">
        <v>5</v>
      </c>
      <c r="M392" t="s">
        <v>6</v>
      </c>
      <c r="N392" s="2">
        <v>0.50208333333333333</v>
      </c>
      <c r="O392" s="2">
        <v>0.50694444444444442</v>
      </c>
      <c r="P392" s="2">
        <v>0.51527777777777772</v>
      </c>
      <c r="Q392" s="2">
        <v>0.54861111111111116</v>
      </c>
      <c r="R392" s="2">
        <v>0.56041666666666667</v>
      </c>
      <c r="S392" s="2">
        <v>0.58333333333333337</v>
      </c>
      <c r="T392" t="s">
        <v>64</v>
      </c>
      <c r="U392" t="s">
        <v>65</v>
      </c>
      <c r="V392" t="s">
        <v>8</v>
      </c>
      <c r="X392" t="s">
        <v>19</v>
      </c>
      <c r="Y392" t="s">
        <v>40</v>
      </c>
      <c r="Z392">
        <v>2</v>
      </c>
      <c r="AA392">
        <v>3</v>
      </c>
      <c r="AB392" t="s">
        <v>11</v>
      </c>
      <c r="AC392" t="s">
        <v>12</v>
      </c>
      <c r="AD392" t="s">
        <v>20</v>
      </c>
      <c r="AE392" t="s">
        <v>29</v>
      </c>
      <c r="AF392" s="1">
        <v>30193</v>
      </c>
      <c r="AG392">
        <f t="shared" ca="1" si="20"/>
        <v>43</v>
      </c>
    </row>
    <row r="393" spans="1:33" x14ac:dyDescent="0.2">
      <c r="A393" s="1">
        <v>46033</v>
      </c>
      <c r="B393" t="str">
        <f t="shared" si="18"/>
        <v>dimanche</v>
      </c>
      <c r="C393" t="str">
        <f t="shared" si="19"/>
        <v>Jour</v>
      </c>
      <c r="D393">
        <v>1500219</v>
      </c>
      <c r="E393">
        <v>2585995</v>
      </c>
      <c r="F393" t="s">
        <v>25</v>
      </c>
      <c r="G393" t="s">
        <v>25</v>
      </c>
      <c r="H393" t="s">
        <v>197</v>
      </c>
      <c r="I393" t="s">
        <v>68</v>
      </c>
      <c r="J393" t="s">
        <v>4</v>
      </c>
      <c r="K393">
        <v>60709</v>
      </c>
      <c r="L393" t="s">
        <v>5</v>
      </c>
      <c r="M393" t="s">
        <v>6</v>
      </c>
      <c r="N393" s="2">
        <v>0.3888888888888889</v>
      </c>
      <c r="O393" s="2">
        <v>0.39305555555555555</v>
      </c>
      <c r="P393" s="2">
        <v>0.39583333333333331</v>
      </c>
      <c r="Q393" s="2">
        <v>0.40555555555555556</v>
      </c>
      <c r="R393" s="2">
        <v>0.41597222222222224</v>
      </c>
      <c r="S393" s="2">
        <v>0.42708333333333331</v>
      </c>
      <c r="T393" t="s">
        <v>7</v>
      </c>
      <c r="U393" t="s">
        <v>263</v>
      </c>
      <c r="V393" t="s">
        <v>8</v>
      </c>
      <c r="X393" t="s">
        <v>19</v>
      </c>
      <c r="Y393" t="s">
        <v>236</v>
      </c>
      <c r="Z393">
        <v>3</v>
      </c>
      <c r="AA393">
        <v>3</v>
      </c>
      <c r="AB393" t="s">
        <v>11</v>
      </c>
      <c r="AC393" t="s">
        <v>12</v>
      </c>
      <c r="AD393" t="s">
        <v>20</v>
      </c>
      <c r="AE393" t="s">
        <v>14</v>
      </c>
      <c r="AF393" s="1">
        <v>29087</v>
      </c>
      <c r="AG393">
        <f t="shared" ca="1" si="20"/>
        <v>46</v>
      </c>
    </row>
    <row r="394" spans="1:33" x14ac:dyDescent="0.2">
      <c r="A394" s="1">
        <v>46032</v>
      </c>
      <c r="B394" t="str">
        <f t="shared" si="18"/>
        <v>samedi</v>
      </c>
      <c r="C394" t="str">
        <f t="shared" si="19"/>
        <v>Nuit</v>
      </c>
      <c r="D394">
        <v>1492899</v>
      </c>
      <c r="E394">
        <v>2589920</v>
      </c>
      <c r="F394" t="s">
        <v>0</v>
      </c>
      <c r="G394" t="s">
        <v>1</v>
      </c>
      <c r="H394" t="s">
        <v>42</v>
      </c>
      <c r="I394" t="s">
        <v>23</v>
      </c>
      <c r="J394" t="s">
        <v>4</v>
      </c>
      <c r="K394">
        <v>60707</v>
      </c>
      <c r="L394" t="s">
        <v>5</v>
      </c>
      <c r="M394" t="s">
        <v>204</v>
      </c>
      <c r="N394" s="2">
        <v>0.87708333333333333</v>
      </c>
      <c r="O394" s="2">
        <v>0.87708333333333333</v>
      </c>
      <c r="P394" s="2">
        <v>0.87847222222222221</v>
      </c>
      <c r="Q394" s="2">
        <v>0.91388888888888886</v>
      </c>
      <c r="R394" s="2">
        <v>0.92222222222222228</v>
      </c>
      <c r="S394" s="2">
        <v>0.9458333333333333</v>
      </c>
      <c r="T394" t="s">
        <v>7</v>
      </c>
      <c r="U394" t="s">
        <v>265</v>
      </c>
      <c r="V394" t="s">
        <v>8</v>
      </c>
      <c r="X394" t="s">
        <v>9</v>
      </c>
      <c r="Y394" t="s">
        <v>48</v>
      </c>
      <c r="Z394">
        <v>2</v>
      </c>
      <c r="AA394">
        <v>2</v>
      </c>
      <c r="AB394" t="s">
        <v>11</v>
      </c>
      <c r="AC394" t="s">
        <v>12</v>
      </c>
      <c r="AD394" t="s">
        <v>20</v>
      </c>
      <c r="AE394" t="s">
        <v>29</v>
      </c>
      <c r="AF394" s="1">
        <v>17343</v>
      </c>
      <c r="AG394">
        <f t="shared" ca="1" si="20"/>
        <v>78</v>
      </c>
    </row>
    <row r="395" spans="1:33" x14ac:dyDescent="0.2">
      <c r="A395" s="1">
        <v>46033</v>
      </c>
      <c r="B395" t="str">
        <f t="shared" si="18"/>
        <v>dimanche</v>
      </c>
      <c r="C395" t="str">
        <f t="shared" si="19"/>
        <v>Jour</v>
      </c>
      <c r="D395">
        <v>1492900</v>
      </c>
      <c r="E395">
        <v>2585978</v>
      </c>
      <c r="F395" t="s">
        <v>15</v>
      </c>
      <c r="G395" t="s">
        <v>92</v>
      </c>
      <c r="H395" t="s">
        <v>239</v>
      </c>
      <c r="I395" t="s">
        <v>103</v>
      </c>
      <c r="J395" t="s">
        <v>4</v>
      </c>
      <c r="K395">
        <v>60707</v>
      </c>
      <c r="L395" t="s">
        <v>5</v>
      </c>
      <c r="M395" t="s">
        <v>6</v>
      </c>
      <c r="N395" s="2">
        <v>0.29444444444444445</v>
      </c>
      <c r="O395" s="2">
        <v>0.2951388888888889</v>
      </c>
      <c r="P395" s="2">
        <v>0.30069444444444443</v>
      </c>
      <c r="Q395" s="2">
        <v>0.3125</v>
      </c>
      <c r="R395" s="2">
        <v>0.32222222222222224</v>
      </c>
      <c r="S395" s="2">
        <v>0.35416666666666669</v>
      </c>
      <c r="T395" t="s">
        <v>8</v>
      </c>
      <c r="U395" t="s">
        <v>32</v>
      </c>
      <c r="V395" t="s">
        <v>8</v>
      </c>
      <c r="X395" t="s">
        <v>214</v>
      </c>
      <c r="Y395" t="s">
        <v>215</v>
      </c>
      <c r="Z395">
        <v>1</v>
      </c>
      <c r="AA395">
        <v>5</v>
      </c>
      <c r="AB395" t="s">
        <v>11</v>
      </c>
      <c r="AC395" t="s">
        <v>12</v>
      </c>
      <c r="AD395" t="s">
        <v>20</v>
      </c>
      <c r="AE395" t="s">
        <v>14</v>
      </c>
      <c r="AF395" s="1">
        <v>14238</v>
      </c>
      <c r="AG395">
        <f t="shared" ca="1" si="20"/>
        <v>87</v>
      </c>
    </row>
    <row r="396" spans="1:33" x14ac:dyDescent="0.2">
      <c r="A396" s="1">
        <v>46032</v>
      </c>
      <c r="B396" t="str">
        <f t="shared" si="18"/>
        <v>samedi</v>
      </c>
      <c r="C396" t="str">
        <f t="shared" si="19"/>
        <v>Jour</v>
      </c>
      <c r="D396">
        <v>1417496</v>
      </c>
      <c r="E396">
        <v>2584529</v>
      </c>
      <c r="F396" t="s">
        <v>25</v>
      </c>
      <c r="G396" t="s">
        <v>25</v>
      </c>
      <c r="H396" t="s">
        <v>23</v>
      </c>
      <c r="I396" t="s">
        <v>189</v>
      </c>
      <c r="J396" t="s">
        <v>4</v>
      </c>
      <c r="K396">
        <v>60705</v>
      </c>
      <c r="L396" t="s">
        <v>5</v>
      </c>
      <c r="M396" t="s">
        <v>6</v>
      </c>
      <c r="N396" s="2">
        <v>0.70694444444444449</v>
      </c>
      <c r="O396" s="2">
        <v>0.71111111111111114</v>
      </c>
      <c r="P396" s="2">
        <v>0.72916666666666663</v>
      </c>
      <c r="Q396" s="2">
        <v>0.74375000000000002</v>
      </c>
      <c r="R396" s="2">
        <v>0.75486111111111109</v>
      </c>
      <c r="S396" s="2">
        <v>0.78819444444444442</v>
      </c>
      <c r="T396" t="s">
        <v>8</v>
      </c>
      <c r="U396" t="s">
        <v>251</v>
      </c>
      <c r="V396" t="s">
        <v>8</v>
      </c>
      <c r="X396" t="s">
        <v>33</v>
      </c>
      <c r="Y396" t="s">
        <v>34</v>
      </c>
      <c r="Z396">
        <v>3</v>
      </c>
      <c r="AA396">
        <v>3</v>
      </c>
      <c r="AB396" t="s">
        <v>11</v>
      </c>
      <c r="AC396" t="s">
        <v>12</v>
      </c>
      <c r="AD396" t="s">
        <v>20</v>
      </c>
      <c r="AE396" t="s">
        <v>29</v>
      </c>
      <c r="AF396" s="1">
        <v>15900</v>
      </c>
      <c r="AG396">
        <f t="shared" ca="1" si="20"/>
        <v>82</v>
      </c>
    </row>
    <row r="397" spans="1:33" x14ac:dyDescent="0.2">
      <c r="A397" s="1">
        <v>46032</v>
      </c>
      <c r="B397" t="str">
        <f t="shared" si="18"/>
        <v>samedi</v>
      </c>
      <c r="C397" t="str">
        <f t="shared" si="19"/>
        <v>Jour</v>
      </c>
      <c r="D397">
        <v>1500481</v>
      </c>
      <c r="E397">
        <v>2585766</v>
      </c>
      <c r="F397" t="s">
        <v>21</v>
      </c>
      <c r="G397" t="s">
        <v>1</v>
      </c>
      <c r="H397" t="s">
        <v>99</v>
      </c>
      <c r="I397" t="s">
        <v>26</v>
      </c>
      <c r="J397" t="s">
        <v>4</v>
      </c>
      <c r="K397">
        <v>60706</v>
      </c>
      <c r="L397" t="s">
        <v>61</v>
      </c>
      <c r="M397" t="s">
        <v>195</v>
      </c>
      <c r="N397" s="2">
        <v>0.35208333333333336</v>
      </c>
      <c r="O397" s="2">
        <v>0.3527777777777778</v>
      </c>
      <c r="P397" s="2">
        <v>0.35486111111111113</v>
      </c>
      <c r="S397" s="2">
        <v>0.41458333333333336</v>
      </c>
      <c r="T397" t="s">
        <v>7</v>
      </c>
      <c r="U397" t="s">
        <v>251</v>
      </c>
      <c r="V397" t="s">
        <v>47</v>
      </c>
      <c r="W397" t="s">
        <v>144</v>
      </c>
      <c r="X397" t="s">
        <v>145</v>
      </c>
      <c r="Y397" t="s">
        <v>266</v>
      </c>
      <c r="Z397">
        <v>1</v>
      </c>
      <c r="AA397">
        <v>7</v>
      </c>
      <c r="AB397" t="s">
        <v>11</v>
      </c>
      <c r="AC397" t="s">
        <v>12</v>
      </c>
      <c r="AD397" t="s">
        <v>267</v>
      </c>
      <c r="AE397" t="s">
        <v>29</v>
      </c>
      <c r="AF397" s="1">
        <v>27465</v>
      </c>
      <c r="AG397">
        <f t="shared" ca="1" si="20"/>
        <v>50</v>
      </c>
    </row>
    <row r="398" spans="1:33" x14ac:dyDescent="0.2">
      <c r="A398" s="1">
        <v>46032</v>
      </c>
      <c r="B398" t="str">
        <f t="shared" si="18"/>
        <v>samedi</v>
      </c>
      <c r="C398" t="str">
        <f t="shared" si="19"/>
        <v>Jour</v>
      </c>
      <c r="D398">
        <v>1500485</v>
      </c>
      <c r="E398">
        <v>2585872</v>
      </c>
      <c r="F398" t="s">
        <v>21</v>
      </c>
      <c r="G398" t="s">
        <v>1</v>
      </c>
      <c r="H398" t="s">
        <v>99</v>
      </c>
      <c r="I398" t="s">
        <v>26</v>
      </c>
      <c r="J398" t="s">
        <v>4</v>
      </c>
      <c r="K398">
        <v>60706</v>
      </c>
      <c r="L398" t="s">
        <v>5</v>
      </c>
      <c r="M398" t="s">
        <v>6</v>
      </c>
      <c r="N398" s="2">
        <v>0.67986111111111114</v>
      </c>
      <c r="O398" s="2">
        <v>0.68263888888888891</v>
      </c>
      <c r="P398" s="2">
        <v>0.68680555555555556</v>
      </c>
      <c r="Q398" s="2">
        <v>0.70625000000000004</v>
      </c>
      <c r="R398" s="2">
        <v>0.71458333333333335</v>
      </c>
      <c r="S398" s="2">
        <v>0.73055555555555551</v>
      </c>
      <c r="T398" t="s">
        <v>7</v>
      </c>
      <c r="U398" t="s">
        <v>54</v>
      </c>
      <c r="V398" t="s">
        <v>8</v>
      </c>
      <c r="X398" t="s">
        <v>190</v>
      </c>
      <c r="Y398" t="s">
        <v>191</v>
      </c>
      <c r="Z398">
        <v>3</v>
      </c>
      <c r="AA398">
        <v>3</v>
      </c>
      <c r="AB398" t="s">
        <v>11</v>
      </c>
      <c r="AC398" t="s">
        <v>12</v>
      </c>
      <c r="AD398" t="s">
        <v>20</v>
      </c>
      <c r="AE398" t="s">
        <v>29</v>
      </c>
      <c r="AF398" s="1">
        <v>27713</v>
      </c>
      <c r="AG398">
        <f t="shared" ca="1" si="20"/>
        <v>50</v>
      </c>
    </row>
    <row r="399" spans="1:33" x14ac:dyDescent="0.2">
      <c r="A399" s="1">
        <v>46032</v>
      </c>
      <c r="B399" t="str">
        <f t="shared" si="18"/>
        <v>samedi</v>
      </c>
      <c r="C399" t="str">
        <f t="shared" si="19"/>
        <v>Jour</v>
      </c>
      <c r="D399">
        <v>1500483</v>
      </c>
      <c r="E399">
        <v>2585813</v>
      </c>
      <c r="F399" t="s">
        <v>21</v>
      </c>
      <c r="G399" t="s">
        <v>16</v>
      </c>
      <c r="H399" t="s">
        <v>99</v>
      </c>
      <c r="I399" t="s">
        <v>26</v>
      </c>
      <c r="J399" t="s">
        <v>4</v>
      </c>
      <c r="K399">
        <v>60706</v>
      </c>
      <c r="L399" t="s">
        <v>5</v>
      </c>
      <c r="M399" t="s">
        <v>6</v>
      </c>
      <c r="N399" s="2">
        <v>0.52361111111111114</v>
      </c>
      <c r="O399" s="2">
        <v>0.52569444444444446</v>
      </c>
      <c r="P399" s="2">
        <v>0.53749999999999998</v>
      </c>
      <c r="Q399" s="2">
        <v>0.5444444444444444</v>
      </c>
      <c r="R399" s="2">
        <v>0.55555555555555558</v>
      </c>
      <c r="S399" s="2">
        <v>0.56944444444444442</v>
      </c>
      <c r="T399" t="s">
        <v>7</v>
      </c>
      <c r="U399" t="s">
        <v>32</v>
      </c>
      <c r="V399" t="s">
        <v>8</v>
      </c>
      <c r="X399" t="s">
        <v>19</v>
      </c>
      <c r="Y399" t="s">
        <v>40</v>
      </c>
      <c r="Z399">
        <v>1</v>
      </c>
      <c r="AA399">
        <v>4</v>
      </c>
      <c r="AB399" t="s">
        <v>11</v>
      </c>
      <c r="AC399" t="s">
        <v>12</v>
      </c>
      <c r="AD399" t="s">
        <v>20</v>
      </c>
      <c r="AE399" t="s">
        <v>29</v>
      </c>
      <c r="AF399" s="1">
        <v>34096</v>
      </c>
      <c r="AG399">
        <f t="shared" ca="1" si="20"/>
        <v>32</v>
      </c>
    </row>
    <row r="400" spans="1:33" x14ac:dyDescent="0.2">
      <c r="A400" s="1">
        <v>46032</v>
      </c>
      <c r="B400" t="str">
        <f t="shared" si="18"/>
        <v>samedi</v>
      </c>
      <c r="C400" t="str">
        <f t="shared" si="19"/>
        <v>Jour</v>
      </c>
      <c r="D400">
        <v>1500484</v>
      </c>
      <c r="E400">
        <v>2585835</v>
      </c>
      <c r="F400" t="s">
        <v>21</v>
      </c>
      <c r="G400" t="s">
        <v>1</v>
      </c>
      <c r="H400" t="s">
        <v>26</v>
      </c>
      <c r="I400" t="s">
        <v>99</v>
      </c>
      <c r="J400" t="s">
        <v>4</v>
      </c>
      <c r="K400">
        <v>60706</v>
      </c>
      <c r="L400" t="s">
        <v>5</v>
      </c>
      <c r="M400" t="s">
        <v>6</v>
      </c>
      <c r="N400" s="2">
        <v>0.57986111111111116</v>
      </c>
      <c r="O400" s="2">
        <v>0.57986111111111116</v>
      </c>
      <c r="P400" s="2">
        <v>0.58333333333333337</v>
      </c>
      <c r="Q400" s="2">
        <v>0.60416666666666663</v>
      </c>
      <c r="R400" s="2">
        <v>0.60972222222222228</v>
      </c>
      <c r="S400" s="2">
        <v>0.63888888888888884</v>
      </c>
      <c r="T400" t="s">
        <v>7</v>
      </c>
      <c r="U400" t="s">
        <v>251</v>
      </c>
      <c r="V400" t="s">
        <v>8</v>
      </c>
      <c r="X400" t="s">
        <v>214</v>
      </c>
      <c r="Y400" t="s">
        <v>215</v>
      </c>
      <c r="Z400">
        <v>1</v>
      </c>
      <c r="AA400">
        <v>4</v>
      </c>
      <c r="AB400" t="s">
        <v>11</v>
      </c>
      <c r="AC400" t="s">
        <v>12</v>
      </c>
      <c r="AD400" t="s">
        <v>20</v>
      </c>
      <c r="AE400" t="s">
        <v>29</v>
      </c>
      <c r="AF400" s="1">
        <v>16355</v>
      </c>
      <c r="AG400">
        <f t="shared" ca="1" si="20"/>
        <v>81</v>
      </c>
    </row>
    <row r="401" spans="1:33" x14ac:dyDescent="0.2">
      <c r="A401" s="1">
        <v>46032</v>
      </c>
      <c r="B401" t="str">
        <f t="shared" si="18"/>
        <v>samedi</v>
      </c>
      <c r="C401" t="str">
        <f t="shared" si="19"/>
        <v>Jour</v>
      </c>
      <c r="D401">
        <v>1500482</v>
      </c>
      <c r="E401">
        <v>2585787</v>
      </c>
      <c r="F401" t="s">
        <v>21</v>
      </c>
      <c r="G401" t="s">
        <v>16</v>
      </c>
      <c r="H401" t="s">
        <v>26</v>
      </c>
      <c r="I401" t="s">
        <v>99</v>
      </c>
      <c r="J401" t="s">
        <v>4</v>
      </c>
      <c r="K401">
        <v>60707</v>
      </c>
      <c r="L401" t="s">
        <v>5</v>
      </c>
      <c r="M401" t="s">
        <v>6</v>
      </c>
      <c r="N401" s="2">
        <v>0.41944444444444445</v>
      </c>
      <c r="O401" s="2">
        <v>0.42222222222222222</v>
      </c>
      <c r="P401" s="2">
        <v>0.43263888888888891</v>
      </c>
      <c r="Q401" s="2">
        <v>0.45763888888888887</v>
      </c>
      <c r="R401" s="2">
        <v>0.46666666666666667</v>
      </c>
      <c r="S401" s="2">
        <v>0.5</v>
      </c>
      <c r="T401" t="s">
        <v>38</v>
      </c>
      <c r="U401" t="s">
        <v>251</v>
      </c>
      <c r="V401" t="s">
        <v>8</v>
      </c>
      <c r="X401" t="s">
        <v>74</v>
      </c>
      <c r="Y401" t="s">
        <v>75</v>
      </c>
      <c r="Z401">
        <v>2</v>
      </c>
      <c r="AA401">
        <v>3</v>
      </c>
      <c r="AB401" t="s">
        <v>11</v>
      </c>
      <c r="AC401" t="s">
        <v>28</v>
      </c>
      <c r="AD401" t="s">
        <v>44</v>
      </c>
      <c r="AE401" t="s">
        <v>29</v>
      </c>
      <c r="AF401" s="1">
        <v>14735</v>
      </c>
      <c r="AG401">
        <f t="shared" ca="1" si="20"/>
        <v>85</v>
      </c>
    </row>
    <row r="402" spans="1:33" x14ac:dyDescent="0.2">
      <c r="A402" s="1">
        <v>46032</v>
      </c>
      <c r="B402" t="str">
        <f t="shared" si="18"/>
        <v>samedi</v>
      </c>
      <c r="C402" t="str">
        <f t="shared" si="19"/>
        <v>Jour</v>
      </c>
      <c r="D402">
        <v>1492897</v>
      </c>
      <c r="E402">
        <v>2585858</v>
      </c>
      <c r="F402" t="s">
        <v>15</v>
      </c>
      <c r="G402" t="s">
        <v>16</v>
      </c>
      <c r="H402" t="s">
        <v>203</v>
      </c>
      <c r="I402" t="s">
        <v>103</v>
      </c>
      <c r="J402" t="s">
        <v>4</v>
      </c>
      <c r="K402">
        <v>60707</v>
      </c>
      <c r="L402" t="s">
        <v>5</v>
      </c>
      <c r="M402" t="s">
        <v>6</v>
      </c>
      <c r="N402" s="2">
        <v>0.63402777777777775</v>
      </c>
      <c r="O402" s="2">
        <v>0.63472222222222219</v>
      </c>
      <c r="P402" s="2">
        <v>0.64583333333333337</v>
      </c>
      <c r="Q402" s="2">
        <v>0.66319444444444442</v>
      </c>
      <c r="R402" s="2">
        <v>0.67152777777777772</v>
      </c>
      <c r="S402" s="2">
        <v>0.69097222222222221</v>
      </c>
      <c r="T402" t="s">
        <v>52</v>
      </c>
      <c r="U402" t="s">
        <v>251</v>
      </c>
      <c r="V402" t="s">
        <v>8</v>
      </c>
      <c r="X402" t="s">
        <v>66</v>
      </c>
      <c r="Y402" t="s">
        <v>85</v>
      </c>
      <c r="Z402">
        <v>3</v>
      </c>
      <c r="AA402">
        <v>2</v>
      </c>
      <c r="AB402" t="s">
        <v>11</v>
      </c>
      <c r="AC402" t="s">
        <v>12</v>
      </c>
      <c r="AD402" t="s">
        <v>113</v>
      </c>
      <c r="AE402" t="s">
        <v>29</v>
      </c>
      <c r="AF402" s="1">
        <v>24183</v>
      </c>
      <c r="AG402">
        <f t="shared" ca="1" si="20"/>
        <v>59</v>
      </c>
    </row>
    <row r="403" spans="1:33" x14ac:dyDescent="0.2">
      <c r="A403" s="1">
        <v>46032</v>
      </c>
      <c r="B403" t="str">
        <f t="shared" si="18"/>
        <v>samedi</v>
      </c>
      <c r="C403" t="str">
        <f t="shared" si="19"/>
        <v>Jour</v>
      </c>
      <c r="D403">
        <v>1492895</v>
      </c>
      <c r="E403">
        <v>2585809</v>
      </c>
      <c r="F403" t="s">
        <v>15</v>
      </c>
      <c r="G403" t="s">
        <v>1</v>
      </c>
      <c r="H403" t="s">
        <v>203</v>
      </c>
      <c r="I403" t="s">
        <v>103</v>
      </c>
      <c r="J403" t="s">
        <v>4</v>
      </c>
      <c r="K403">
        <v>60707</v>
      </c>
      <c r="L403" t="s">
        <v>61</v>
      </c>
      <c r="M403" t="s">
        <v>195</v>
      </c>
      <c r="N403" s="2">
        <v>0.49444444444444446</v>
      </c>
      <c r="O403" s="2">
        <v>0.49444444444444446</v>
      </c>
      <c r="P403" s="2">
        <v>0.50486111111111109</v>
      </c>
      <c r="Q403" s="2">
        <v>0.5444444444444444</v>
      </c>
      <c r="R403" s="2">
        <v>0.55555555555555558</v>
      </c>
      <c r="S403" s="2">
        <v>0.58194444444444449</v>
      </c>
      <c r="T403" t="s">
        <v>7</v>
      </c>
      <c r="U403" t="s">
        <v>114</v>
      </c>
      <c r="V403" t="s">
        <v>8</v>
      </c>
      <c r="X403" t="s">
        <v>190</v>
      </c>
      <c r="Y403" t="s">
        <v>191</v>
      </c>
      <c r="Z403">
        <v>2</v>
      </c>
      <c r="AA403">
        <v>4</v>
      </c>
      <c r="AB403" t="s">
        <v>11</v>
      </c>
      <c r="AC403" t="s">
        <v>12</v>
      </c>
      <c r="AD403" t="s">
        <v>246</v>
      </c>
      <c r="AE403" t="s">
        <v>14</v>
      </c>
      <c r="AF403" s="1">
        <v>17828</v>
      </c>
      <c r="AG403">
        <f t="shared" ca="1" si="20"/>
        <v>77</v>
      </c>
    </row>
    <row r="404" spans="1:33" x14ac:dyDescent="0.2">
      <c r="A404" s="1">
        <v>46032</v>
      </c>
      <c r="B404" t="str">
        <f t="shared" si="18"/>
        <v>samedi</v>
      </c>
      <c r="C404" t="str">
        <f t="shared" si="19"/>
        <v>Jour</v>
      </c>
      <c r="D404">
        <v>1492893</v>
      </c>
      <c r="E404">
        <v>2585772</v>
      </c>
      <c r="F404" t="s">
        <v>15</v>
      </c>
      <c r="G404" t="s">
        <v>1</v>
      </c>
      <c r="H404" t="s">
        <v>203</v>
      </c>
      <c r="I404" t="s">
        <v>103</v>
      </c>
      <c r="J404" t="s">
        <v>4</v>
      </c>
      <c r="K404">
        <v>60707</v>
      </c>
      <c r="L404" t="s">
        <v>5</v>
      </c>
      <c r="M404" t="s">
        <v>6</v>
      </c>
      <c r="N404" s="2">
        <v>0.37916666666666665</v>
      </c>
      <c r="O404" s="2">
        <v>0.37916666666666665</v>
      </c>
      <c r="P404" s="2">
        <v>0.38263888888888886</v>
      </c>
      <c r="Q404" s="2">
        <v>0.41458333333333336</v>
      </c>
      <c r="R404" s="2">
        <v>0.42430555555555555</v>
      </c>
      <c r="S404" s="2">
        <v>0.44791666666666669</v>
      </c>
      <c r="T404" t="s">
        <v>7</v>
      </c>
      <c r="U404" t="s">
        <v>265</v>
      </c>
      <c r="V404" t="s">
        <v>8</v>
      </c>
      <c r="X404" t="s">
        <v>264</v>
      </c>
      <c r="Y404" t="s">
        <v>222</v>
      </c>
      <c r="Z404">
        <v>2</v>
      </c>
      <c r="AA404">
        <v>3</v>
      </c>
      <c r="AB404" t="s">
        <v>11</v>
      </c>
      <c r="AC404" t="s">
        <v>12</v>
      </c>
      <c r="AD404" t="s">
        <v>20</v>
      </c>
      <c r="AE404" t="s">
        <v>14</v>
      </c>
      <c r="AF404" s="1">
        <v>31487</v>
      </c>
      <c r="AG404">
        <f t="shared" ca="1" si="20"/>
        <v>39</v>
      </c>
    </row>
    <row r="405" spans="1:33" x14ac:dyDescent="0.2">
      <c r="A405" s="1">
        <v>46032</v>
      </c>
      <c r="B405" t="str">
        <f t="shared" si="18"/>
        <v>samedi</v>
      </c>
      <c r="C405" t="str">
        <f t="shared" si="19"/>
        <v>Jour</v>
      </c>
      <c r="D405">
        <v>1492896</v>
      </c>
      <c r="E405">
        <v>2585838</v>
      </c>
      <c r="F405" t="s">
        <v>15</v>
      </c>
      <c r="G405" t="s">
        <v>16</v>
      </c>
      <c r="H405" t="s">
        <v>103</v>
      </c>
      <c r="I405" t="s">
        <v>203</v>
      </c>
      <c r="J405" t="s">
        <v>4</v>
      </c>
      <c r="K405">
        <v>60707</v>
      </c>
      <c r="L405" t="s">
        <v>5</v>
      </c>
      <c r="M405" t="s">
        <v>6</v>
      </c>
      <c r="N405" s="2">
        <v>0.59097222222222223</v>
      </c>
      <c r="O405" s="2">
        <v>0.59097222222222223</v>
      </c>
      <c r="P405" s="2">
        <v>0.59444444444444444</v>
      </c>
      <c r="Q405" s="2">
        <v>0.60138888888888886</v>
      </c>
      <c r="R405" s="2">
        <v>0.60624999999999996</v>
      </c>
      <c r="S405" s="2">
        <v>0.63541666666666663</v>
      </c>
      <c r="T405" t="s">
        <v>43</v>
      </c>
      <c r="U405" t="s">
        <v>251</v>
      </c>
      <c r="V405" t="s">
        <v>8</v>
      </c>
      <c r="X405" t="s">
        <v>74</v>
      </c>
      <c r="Y405" t="s">
        <v>75</v>
      </c>
      <c r="Z405">
        <v>3</v>
      </c>
      <c r="AA405">
        <v>2</v>
      </c>
      <c r="AB405" t="s">
        <v>11</v>
      </c>
      <c r="AC405" t="s">
        <v>28</v>
      </c>
      <c r="AD405" t="s">
        <v>20</v>
      </c>
      <c r="AE405" t="s">
        <v>14</v>
      </c>
      <c r="AF405" s="1">
        <v>28356</v>
      </c>
      <c r="AG405">
        <f t="shared" ca="1" si="20"/>
        <v>48</v>
      </c>
    </row>
    <row r="406" spans="1:33" x14ac:dyDescent="0.2">
      <c r="A406" s="1">
        <v>46032</v>
      </c>
      <c r="B406" t="str">
        <f t="shared" si="18"/>
        <v>samedi</v>
      </c>
      <c r="C406" t="str">
        <f t="shared" si="19"/>
        <v>Jour</v>
      </c>
      <c r="D406">
        <v>1492894</v>
      </c>
      <c r="E406">
        <v>2585801</v>
      </c>
      <c r="F406" t="s">
        <v>15</v>
      </c>
      <c r="G406" t="s">
        <v>1</v>
      </c>
      <c r="H406" t="s">
        <v>103</v>
      </c>
      <c r="I406" t="s">
        <v>203</v>
      </c>
      <c r="J406" t="s">
        <v>4</v>
      </c>
      <c r="K406">
        <v>60707</v>
      </c>
      <c r="L406" t="s">
        <v>5</v>
      </c>
      <c r="M406" t="s">
        <v>6</v>
      </c>
      <c r="N406" s="2">
        <v>0.4597222222222222</v>
      </c>
      <c r="O406" s="2">
        <v>0.4597222222222222</v>
      </c>
      <c r="P406" s="2">
        <v>0.46111111111111114</v>
      </c>
      <c r="Q406" s="2">
        <v>0.47430555555555554</v>
      </c>
      <c r="R406" s="2">
        <v>0.4777777777777778</v>
      </c>
      <c r="S406" s="2">
        <v>0.49652777777777779</v>
      </c>
      <c r="T406" t="s">
        <v>43</v>
      </c>
      <c r="U406" t="s">
        <v>251</v>
      </c>
      <c r="V406" t="s">
        <v>8</v>
      </c>
      <c r="X406" t="s">
        <v>33</v>
      </c>
      <c r="Y406" t="s">
        <v>146</v>
      </c>
      <c r="Z406">
        <v>1</v>
      </c>
      <c r="AA406">
        <v>4</v>
      </c>
      <c r="AB406" t="s">
        <v>93</v>
      </c>
      <c r="AC406" t="s">
        <v>12</v>
      </c>
      <c r="AD406" t="s">
        <v>20</v>
      </c>
      <c r="AE406" t="s">
        <v>14</v>
      </c>
      <c r="AF406" s="1">
        <v>31451</v>
      </c>
      <c r="AG406">
        <f t="shared" ca="1" si="20"/>
        <v>40</v>
      </c>
    </row>
    <row r="407" spans="1:33" x14ac:dyDescent="0.2">
      <c r="A407" s="1">
        <v>46032</v>
      </c>
      <c r="B407" t="str">
        <f t="shared" si="18"/>
        <v>samedi</v>
      </c>
      <c r="C407" t="str">
        <f t="shared" si="19"/>
        <v>Jour</v>
      </c>
      <c r="D407">
        <v>1500218</v>
      </c>
      <c r="E407">
        <v>2585829</v>
      </c>
      <c r="F407" t="s">
        <v>25</v>
      </c>
      <c r="G407" t="s">
        <v>25</v>
      </c>
      <c r="H407" t="s">
        <v>78</v>
      </c>
      <c r="I407" t="s">
        <v>247</v>
      </c>
      <c r="J407" t="s">
        <v>4</v>
      </c>
      <c r="K407">
        <v>60709</v>
      </c>
      <c r="L407" t="s">
        <v>5</v>
      </c>
      <c r="M407" t="s">
        <v>6</v>
      </c>
      <c r="N407" s="2">
        <v>0.56805555555555554</v>
      </c>
      <c r="O407" s="2">
        <v>0.5756944444444444</v>
      </c>
      <c r="P407" s="2">
        <v>0.57708333333333328</v>
      </c>
      <c r="Q407" s="2">
        <v>0.59027777777777779</v>
      </c>
      <c r="R407" s="2">
        <v>0.59930555555555554</v>
      </c>
      <c r="S407" s="2">
        <v>0.625</v>
      </c>
      <c r="T407" t="s">
        <v>24</v>
      </c>
      <c r="U407" t="s">
        <v>265</v>
      </c>
      <c r="V407" t="s">
        <v>8</v>
      </c>
      <c r="X407" t="s">
        <v>33</v>
      </c>
      <c r="Y407" t="s">
        <v>257</v>
      </c>
      <c r="Z407">
        <v>3</v>
      </c>
      <c r="AA407">
        <v>2</v>
      </c>
      <c r="AB407" t="s">
        <v>11</v>
      </c>
      <c r="AC407" t="s">
        <v>12</v>
      </c>
      <c r="AD407" t="s">
        <v>20</v>
      </c>
      <c r="AE407" t="s">
        <v>14</v>
      </c>
      <c r="AF407" s="1">
        <v>16503</v>
      </c>
      <c r="AG407">
        <f t="shared" ca="1" si="20"/>
        <v>80</v>
      </c>
    </row>
    <row r="408" spans="1:33" x14ac:dyDescent="0.2">
      <c r="A408" s="1">
        <v>46032</v>
      </c>
      <c r="B408" t="str">
        <f t="shared" si="18"/>
        <v>samedi</v>
      </c>
      <c r="C408" t="str">
        <f t="shared" si="19"/>
        <v>Jour</v>
      </c>
      <c r="D408">
        <v>1500217</v>
      </c>
      <c r="E408">
        <v>2585809</v>
      </c>
      <c r="F408" t="s">
        <v>25</v>
      </c>
      <c r="G408" t="s">
        <v>25</v>
      </c>
      <c r="H408" t="s">
        <v>78</v>
      </c>
      <c r="I408" t="s">
        <v>247</v>
      </c>
      <c r="J408" t="s">
        <v>4</v>
      </c>
      <c r="K408">
        <v>60709</v>
      </c>
      <c r="L408" t="s">
        <v>5</v>
      </c>
      <c r="M408" t="s">
        <v>6</v>
      </c>
      <c r="N408" s="2">
        <v>0.49861111111111112</v>
      </c>
      <c r="O408" s="2">
        <v>0.50069444444444444</v>
      </c>
      <c r="P408" s="2">
        <v>0.5131944444444444</v>
      </c>
      <c r="S408" s="2">
        <v>0.52361111111111114</v>
      </c>
      <c r="T408" t="s">
        <v>7</v>
      </c>
      <c r="U408" t="s">
        <v>114</v>
      </c>
      <c r="V408" t="s">
        <v>47</v>
      </c>
      <c r="W408" t="s">
        <v>248</v>
      </c>
      <c r="X408" t="s">
        <v>72</v>
      </c>
      <c r="Y408" t="s">
        <v>187</v>
      </c>
      <c r="Z408" t="s">
        <v>73</v>
      </c>
      <c r="AA408">
        <v>9</v>
      </c>
      <c r="AB408" t="s">
        <v>11</v>
      </c>
      <c r="AC408" t="s">
        <v>73</v>
      </c>
      <c r="AD408" t="s">
        <v>20</v>
      </c>
      <c r="AE408" t="s">
        <v>29</v>
      </c>
      <c r="AF408" s="1">
        <v>31600</v>
      </c>
      <c r="AG408">
        <f t="shared" ca="1" si="20"/>
        <v>39</v>
      </c>
    </row>
    <row r="409" spans="1:33" x14ac:dyDescent="0.2">
      <c r="A409" s="1">
        <v>46032</v>
      </c>
      <c r="B409" t="str">
        <f t="shared" si="18"/>
        <v>samedi</v>
      </c>
      <c r="C409" t="str">
        <f t="shared" si="19"/>
        <v>Jour</v>
      </c>
      <c r="D409">
        <v>1500216</v>
      </c>
      <c r="E409">
        <v>2585770</v>
      </c>
      <c r="F409" t="s">
        <v>25</v>
      </c>
      <c r="G409" t="s">
        <v>25</v>
      </c>
      <c r="H409" t="s">
        <v>247</v>
      </c>
      <c r="I409" t="s">
        <v>78</v>
      </c>
      <c r="J409" t="s">
        <v>4</v>
      </c>
      <c r="K409">
        <v>60709</v>
      </c>
      <c r="L409" t="s">
        <v>5</v>
      </c>
      <c r="M409" t="s">
        <v>6</v>
      </c>
      <c r="N409" s="2">
        <v>0.37291666666666667</v>
      </c>
      <c r="O409" s="2">
        <v>0.37430555555555556</v>
      </c>
      <c r="P409" s="2">
        <v>0.37916666666666665</v>
      </c>
      <c r="Q409" s="2">
        <v>0.40277777777777779</v>
      </c>
      <c r="R409" s="2">
        <v>0.40694444444444444</v>
      </c>
      <c r="S409" s="2">
        <v>0.42708333333333331</v>
      </c>
      <c r="T409" t="s">
        <v>7</v>
      </c>
      <c r="U409" t="s">
        <v>54</v>
      </c>
      <c r="V409" t="s">
        <v>24</v>
      </c>
      <c r="X409" t="s">
        <v>74</v>
      </c>
      <c r="Y409" t="s">
        <v>75</v>
      </c>
      <c r="Z409">
        <v>2</v>
      </c>
      <c r="AA409">
        <v>3</v>
      </c>
      <c r="AB409" t="s">
        <v>11</v>
      </c>
      <c r="AC409" t="s">
        <v>28</v>
      </c>
      <c r="AD409" t="s">
        <v>20</v>
      </c>
      <c r="AE409" t="s">
        <v>29</v>
      </c>
      <c r="AF409" s="1">
        <v>20201</v>
      </c>
      <c r="AG409">
        <f t="shared" ca="1" si="20"/>
        <v>70</v>
      </c>
    </row>
    <row r="410" spans="1:33" x14ac:dyDescent="0.2">
      <c r="A410" s="1">
        <v>46031</v>
      </c>
      <c r="B410" t="str">
        <f t="shared" si="18"/>
        <v>vendredi</v>
      </c>
      <c r="C410" t="str">
        <f t="shared" si="19"/>
        <v>Jour</v>
      </c>
      <c r="D410">
        <v>1492889</v>
      </c>
      <c r="E410">
        <v>2585646</v>
      </c>
      <c r="F410" t="s">
        <v>0</v>
      </c>
      <c r="G410" t="s">
        <v>1</v>
      </c>
      <c r="H410" t="s">
        <v>37</v>
      </c>
      <c r="I410" t="s">
        <v>203</v>
      </c>
      <c r="J410" t="s">
        <v>4</v>
      </c>
      <c r="K410">
        <v>60707</v>
      </c>
      <c r="L410" t="s">
        <v>5</v>
      </c>
      <c r="M410" t="s">
        <v>6</v>
      </c>
      <c r="N410" s="2">
        <v>0.76666666666666672</v>
      </c>
      <c r="O410" s="2">
        <v>0.76944444444444449</v>
      </c>
      <c r="P410" s="2">
        <v>0.77430555555555558</v>
      </c>
      <c r="Q410" s="2">
        <v>0.79722222222222228</v>
      </c>
      <c r="R410" s="2">
        <v>0.8041666666666667</v>
      </c>
      <c r="S410" s="2">
        <v>0.83263888888888893</v>
      </c>
      <c r="T410" t="s">
        <v>64</v>
      </c>
      <c r="U410" t="s">
        <v>65</v>
      </c>
      <c r="V410" t="s">
        <v>8</v>
      </c>
      <c r="X410" t="s">
        <v>9</v>
      </c>
      <c r="Y410" t="s">
        <v>10</v>
      </c>
      <c r="Z410">
        <v>2</v>
      </c>
      <c r="AA410">
        <v>4</v>
      </c>
      <c r="AB410" t="s">
        <v>93</v>
      </c>
      <c r="AC410" t="s">
        <v>12</v>
      </c>
      <c r="AD410" t="s">
        <v>13</v>
      </c>
      <c r="AE410" t="s">
        <v>29</v>
      </c>
      <c r="AF410" s="1">
        <v>30193</v>
      </c>
      <c r="AG410">
        <f t="shared" ca="1" si="20"/>
        <v>43</v>
      </c>
    </row>
    <row r="411" spans="1:33" x14ac:dyDescent="0.2">
      <c r="A411" s="1">
        <v>46031</v>
      </c>
      <c r="B411" t="str">
        <f t="shared" si="18"/>
        <v>vendredi</v>
      </c>
      <c r="C411" t="str">
        <f t="shared" si="19"/>
        <v>Nuit</v>
      </c>
      <c r="D411">
        <v>1492891</v>
      </c>
      <c r="E411">
        <v>2585695</v>
      </c>
      <c r="F411" t="s">
        <v>0</v>
      </c>
      <c r="G411" t="s">
        <v>1</v>
      </c>
      <c r="H411" t="s">
        <v>37</v>
      </c>
      <c r="I411" t="s">
        <v>81</v>
      </c>
      <c r="J411" t="s">
        <v>4</v>
      </c>
      <c r="K411">
        <v>60707</v>
      </c>
      <c r="L411" t="s">
        <v>5</v>
      </c>
      <c r="M411" t="s">
        <v>6</v>
      </c>
      <c r="N411" s="2">
        <v>0.90625</v>
      </c>
      <c r="O411" s="2">
        <v>0.90694444444444444</v>
      </c>
      <c r="P411" s="2">
        <v>0.91736111111111107</v>
      </c>
      <c r="Q411" s="2">
        <v>0.93472222222222223</v>
      </c>
      <c r="R411" s="2">
        <v>0.93958333333333333</v>
      </c>
      <c r="S411" s="2">
        <v>0.97847222222222219</v>
      </c>
      <c r="T411" t="s">
        <v>24</v>
      </c>
      <c r="U411" t="s">
        <v>143</v>
      </c>
      <c r="V411" t="s">
        <v>8</v>
      </c>
      <c r="X411" t="s">
        <v>66</v>
      </c>
      <c r="Y411" t="s">
        <v>85</v>
      </c>
      <c r="Z411">
        <v>2</v>
      </c>
      <c r="AA411">
        <v>2</v>
      </c>
      <c r="AB411" t="s">
        <v>93</v>
      </c>
      <c r="AC411" t="s">
        <v>12</v>
      </c>
      <c r="AD411" t="s">
        <v>113</v>
      </c>
      <c r="AE411" t="s">
        <v>14</v>
      </c>
      <c r="AF411" s="1">
        <v>20285</v>
      </c>
      <c r="AG411">
        <f t="shared" ca="1" si="20"/>
        <v>70</v>
      </c>
    </row>
    <row r="412" spans="1:33" x14ac:dyDescent="0.2">
      <c r="A412" s="1">
        <v>46032</v>
      </c>
      <c r="B412" t="str">
        <f t="shared" si="18"/>
        <v>samedi</v>
      </c>
      <c r="C412" t="str">
        <f t="shared" si="19"/>
        <v>Nuit</v>
      </c>
      <c r="D412">
        <v>1492892</v>
      </c>
      <c r="E412">
        <v>2585755</v>
      </c>
      <c r="F412" t="s">
        <v>15</v>
      </c>
      <c r="G412" t="s">
        <v>16</v>
      </c>
      <c r="H412" t="s">
        <v>103</v>
      </c>
      <c r="I412" t="s">
        <v>203</v>
      </c>
      <c r="J412" t="s">
        <v>4</v>
      </c>
      <c r="K412">
        <v>60707</v>
      </c>
      <c r="L412" t="s">
        <v>5</v>
      </c>
      <c r="M412" t="s">
        <v>6</v>
      </c>
      <c r="N412" s="2">
        <v>0.28680555555555554</v>
      </c>
      <c r="O412" s="2">
        <v>0.28680555555555554</v>
      </c>
      <c r="P412" s="2">
        <v>0.29236111111111113</v>
      </c>
      <c r="S412" s="2">
        <v>0.31388888888888888</v>
      </c>
      <c r="T412" t="s">
        <v>7</v>
      </c>
      <c r="U412" t="s">
        <v>32</v>
      </c>
      <c r="V412" t="s">
        <v>47</v>
      </c>
      <c r="W412" t="s">
        <v>199</v>
      </c>
      <c r="X412" t="s">
        <v>33</v>
      </c>
      <c r="Y412" t="s">
        <v>201</v>
      </c>
      <c r="Z412">
        <v>4</v>
      </c>
      <c r="AA412">
        <v>7</v>
      </c>
      <c r="AB412" t="s">
        <v>11</v>
      </c>
      <c r="AC412" t="s">
        <v>12</v>
      </c>
      <c r="AD412" t="s">
        <v>20</v>
      </c>
      <c r="AE412" t="s">
        <v>14</v>
      </c>
      <c r="AF412" s="1">
        <v>36258</v>
      </c>
      <c r="AG412">
        <f t="shared" ca="1" si="20"/>
        <v>26</v>
      </c>
    </row>
    <row r="413" spans="1:33" x14ac:dyDescent="0.2">
      <c r="A413" s="1">
        <v>46031</v>
      </c>
      <c r="B413" t="str">
        <f t="shared" si="18"/>
        <v>vendredi</v>
      </c>
      <c r="C413" t="str">
        <f t="shared" si="19"/>
        <v>Jour</v>
      </c>
      <c r="D413">
        <v>1500480</v>
      </c>
      <c r="E413">
        <v>2485631</v>
      </c>
      <c r="F413" t="s">
        <v>21</v>
      </c>
      <c r="G413" t="s">
        <v>92</v>
      </c>
      <c r="H413" t="s">
        <v>115</v>
      </c>
      <c r="I413" t="s">
        <v>26</v>
      </c>
      <c r="J413" t="s">
        <v>4</v>
      </c>
      <c r="K413">
        <v>60706</v>
      </c>
      <c r="L413" t="s">
        <v>5</v>
      </c>
      <c r="M413" t="s">
        <v>6</v>
      </c>
      <c r="N413" s="2">
        <v>0.71736111111111112</v>
      </c>
      <c r="O413" s="2">
        <v>0.71736111111111112</v>
      </c>
      <c r="P413" s="2">
        <v>0.72777777777777775</v>
      </c>
      <c r="Q413" s="2">
        <v>0.75069444444444444</v>
      </c>
      <c r="R413" s="2">
        <v>0.7729166666666667</v>
      </c>
      <c r="S413" s="2">
        <v>0.78472222222222221</v>
      </c>
      <c r="T413" t="s">
        <v>86</v>
      </c>
      <c r="U413" t="s">
        <v>250</v>
      </c>
      <c r="V413" t="s">
        <v>8</v>
      </c>
      <c r="X413" t="s">
        <v>200</v>
      </c>
      <c r="Y413" t="s">
        <v>210</v>
      </c>
      <c r="Z413">
        <v>1</v>
      </c>
      <c r="AA413">
        <v>4</v>
      </c>
      <c r="AB413" t="s">
        <v>11</v>
      </c>
      <c r="AC413" t="s">
        <v>12</v>
      </c>
      <c r="AD413" t="s">
        <v>20</v>
      </c>
      <c r="AE413" t="s">
        <v>29</v>
      </c>
      <c r="AF413" s="1">
        <v>24837</v>
      </c>
      <c r="AG413">
        <f t="shared" ca="1" si="20"/>
        <v>58</v>
      </c>
    </row>
    <row r="414" spans="1:33" x14ac:dyDescent="0.2">
      <c r="A414" s="1">
        <v>46032</v>
      </c>
      <c r="B414" t="str">
        <f t="shared" si="18"/>
        <v>samedi</v>
      </c>
      <c r="C414" t="str">
        <f t="shared" si="19"/>
        <v>Nuit</v>
      </c>
      <c r="D414">
        <v>1473357</v>
      </c>
      <c r="E414">
        <v>2685737</v>
      </c>
      <c r="F414" t="s">
        <v>117</v>
      </c>
      <c r="G414" t="s">
        <v>25</v>
      </c>
      <c r="H414" t="s">
        <v>197</v>
      </c>
      <c r="I414" t="s">
        <v>57</v>
      </c>
      <c r="J414" t="s">
        <v>4</v>
      </c>
      <c r="K414">
        <v>60705</v>
      </c>
      <c r="L414" t="s">
        <v>5</v>
      </c>
      <c r="M414" t="s">
        <v>6</v>
      </c>
      <c r="N414" s="2">
        <v>0.15902777777777777</v>
      </c>
      <c r="O414" s="2">
        <v>0.16527777777777777</v>
      </c>
      <c r="P414" s="2">
        <v>0.18124999999999999</v>
      </c>
      <c r="S414" s="2">
        <v>0.20833333333333334</v>
      </c>
      <c r="T414" t="s">
        <v>7</v>
      </c>
      <c r="U414" t="s">
        <v>147</v>
      </c>
      <c r="V414" t="s">
        <v>47</v>
      </c>
      <c r="W414" t="s">
        <v>199</v>
      </c>
      <c r="X414" t="s">
        <v>33</v>
      </c>
      <c r="Y414" t="s">
        <v>259</v>
      </c>
      <c r="Z414">
        <v>3</v>
      </c>
      <c r="AA414">
        <v>1</v>
      </c>
      <c r="AB414" t="s">
        <v>11</v>
      </c>
      <c r="AC414" t="s">
        <v>12</v>
      </c>
      <c r="AD414" t="s">
        <v>20</v>
      </c>
      <c r="AE414" t="s">
        <v>14</v>
      </c>
      <c r="AF414" s="1">
        <v>39559</v>
      </c>
      <c r="AG414">
        <f t="shared" ca="1" si="20"/>
        <v>17</v>
      </c>
    </row>
    <row r="415" spans="1:33" x14ac:dyDescent="0.2">
      <c r="A415" s="1">
        <v>46031</v>
      </c>
      <c r="B415" t="str">
        <f t="shared" si="18"/>
        <v>vendredi</v>
      </c>
      <c r="C415" t="str">
        <f t="shared" si="19"/>
        <v>Nuit</v>
      </c>
      <c r="D415">
        <v>1473356</v>
      </c>
      <c r="E415">
        <v>2585680</v>
      </c>
      <c r="F415" t="s">
        <v>117</v>
      </c>
      <c r="G415" t="s">
        <v>25</v>
      </c>
      <c r="H415" t="s">
        <v>57</v>
      </c>
      <c r="I415" t="s">
        <v>197</v>
      </c>
      <c r="J415" t="s">
        <v>4</v>
      </c>
      <c r="K415">
        <v>60705</v>
      </c>
      <c r="L415" t="s">
        <v>5</v>
      </c>
      <c r="M415" t="s">
        <v>6</v>
      </c>
      <c r="N415" s="2">
        <v>0.86111111111111116</v>
      </c>
      <c r="O415" s="2">
        <v>0.86597222222222225</v>
      </c>
      <c r="P415" s="2">
        <v>0.87013888888888891</v>
      </c>
      <c r="Q415" s="2">
        <v>0.87638888888888888</v>
      </c>
      <c r="R415" s="2">
        <v>0.88055555555555554</v>
      </c>
      <c r="S415" s="2">
        <v>0.89583333333333337</v>
      </c>
      <c r="T415" t="s">
        <v>43</v>
      </c>
      <c r="U415" t="s">
        <v>251</v>
      </c>
      <c r="V415" t="s">
        <v>8</v>
      </c>
      <c r="X415" t="s">
        <v>192</v>
      </c>
      <c r="Y415" t="s">
        <v>187</v>
      </c>
      <c r="Z415" t="s">
        <v>188</v>
      </c>
      <c r="AA415">
        <v>2</v>
      </c>
      <c r="AB415" t="s">
        <v>11</v>
      </c>
      <c r="AC415" t="s">
        <v>28</v>
      </c>
      <c r="AD415" t="s">
        <v>20</v>
      </c>
      <c r="AE415" t="s">
        <v>29</v>
      </c>
      <c r="AF415" s="1">
        <v>44807</v>
      </c>
      <c r="AG415">
        <f t="shared" ca="1" si="20"/>
        <v>3</v>
      </c>
    </row>
    <row r="416" spans="1:33" x14ac:dyDescent="0.2">
      <c r="A416" s="1">
        <v>46031</v>
      </c>
      <c r="B416" t="str">
        <f t="shared" si="18"/>
        <v>vendredi</v>
      </c>
      <c r="C416" t="str">
        <f t="shared" si="19"/>
        <v>Nuit</v>
      </c>
      <c r="D416">
        <v>1492890</v>
      </c>
      <c r="E416">
        <v>2585673</v>
      </c>
      <c r="F416" t="s">
        <v>0</v>
      </c>
      <c r="G416" t="s">
        <v>1</v>
      </c>
      <c r="H416" t="s">
        <v>81</v>
      </c>
      <c r="I416" t="s">
        <v>37</v>
      </c>
      <c r="J416" t="s">
        <v>4</v>
      </c>
      <c r="K416">
        <v>60707</v>
      </c>
      <c r="L416" t="s">
        <v>5</v>
      </c>
      <c r="M416" t="s">
        <v>6</v>
      </c>
      <c r="N416" s="2">
        <v>0.84375</v>
      </c>
      <c r="O416" s="2">
        <v>0.84513888888888888</v>
      </c>
      <c r="P416" s="2">
        <v>0.84861111111111109</v>
      </c>
      <c r="Q416" s="2">
        <v>0.87777777777777777</v>
      </c>
      <c r="R416" s="2">
        <v>0.88194444444444442</v>
      </c>
      <c r="S416" s="2">
        <v>0.89236111111111116</v>
      </c>
      <c r="T416" t="s">
        <v>7</v>
      </c>
      <c r="U416" t="s">
        <v>265</v>
      </c>
      <c r="V416" t="s">
        <v>86</v>
      </c>
      <c r="X416" t="s">
        <v>33</v>
      </c>
      <c r="Y416" t="s">
        <v>118</v>
      </c>
      <c r="Z416">
        <v>2</v>
      </c>
      <c r="AA416">
        <v>2</v>
      </c>
      <c r="AB416" t="s">
        <v>11</v>
      </c>
      <c r="AC416" t="s">
        <v>12</v>
      </c>
      <c r="AD416" t="s">
        <v>20</v>
      </c>
      <c r="AE416" t="s">
        <v>14</v>
      </c>
      <c r="AF416" s="1">
        <v>19545</v>
      </c>
      <c r="AG416">
        <f t="shared" ca="1" si="20"/>
        <v>72</v>
      </c>
    </row>
    <row r="417" spans="1:33" x14ac:dyDescent="0.2">
      <c r="A417" s="1">
        <v>46031</v>
      </c>
      <c r="B417" t="str">
        <f t="shared" si="18"/>
        <v>vendredi</v>
      </c>
      <c r="C417" t="str">
        <f t="shared" si="19"/>
        <v>Nuit</v>
      </c>
      <c r="D417">
        <v>1500001</v>
      </c>
      <c r="E417">
        <v>2585478</v>
      </c>
      <c r="F417" t="s">
        <v>15</v>
      </c>
      <c r="G417" t="s">
        <v>16</v>
      </c>
      <c r="H417" t="s">
        <v>69</v>
      </c>
      <c r="I417" t="s">
        <v>203</v>
      </c>
      <c r="J417" t="s">
        <v>4</v>
      </c>
      <c r="K417">
        <v>60707</v>
      </c>
      <c r="L417" t="s">
        <v>5</v>
      </c>
      <c r="M417" t="s">
        <v>6</v>
      </c>
      <c r="N417" s="2">
        <v>0.27430555555555558</v>
      </c>
      <c r="O417" s="2">
        <v>0.27777777777777779</v>
      </c>
      <c r="P417" s="2">
        <v>0.28541666666666665</v>
      </c>
      <c r="Q417" s="2">
        <v>0.44027777777777777</v>
      </c>
      <c r="S417" s="2">
        <v>0.44027777777777777</v>
      </c>
      <c r="T417" t="s">
        <v>7</v>
      </c>
      <c r="U417" t="s">
        <v>265</v>
      </c>
      <c r="V417" t="s">
        <v>47</v>
      </c>
      <c r="W417" t="s">
        <v>199</v>
      </c>
      <c r="X417" t="s">
        <v>200</v>
      </c>
      <c r="Y417" t="s">
        <v>210</v>
      </c>
      <c r="Z417">
        <v>3</v>
      </c>
      <c r="AA417">
        <v>1</v>
      </c>
      <c r="AB417" t="s">
        <v>11</v>
      </c>
      <c r="AC417" t="s">
        <v>28</v>
      </c>
      <c r="AD417" t="s">
        <v>20</v>
      </c>
      <c r="AE417" t="s">
        <v>14</v>
      </c>
      <c r="AF417" s="1">
        <v>22618</v>
      </c>
      <c r="AG417">
        <f t="shared" ca="1" si="20"/>
        <v>64</v>
      </c>
    </row>
    <row r="418" spans="1:33" x14ac:dyDescent="0.2">
      <c r="A418" s="1">
        <v>46031</v>
      </c>
      <c r="B418" t="str">
        <f t="shared" si="18"/>
        <v>vendredi</v>
      </c>
      <c r="C418" t="str">
        <f t="shared" si="19"/>
        <v>Jour</v>
      </c>
      <c r="D418">
        <v>1492888</v>
      </c>
      <c r="E418">
        <v>2585612</v>
      </c>
      <c r="F418" t="s">
        <v>15</v>
      </c>
      <c r="G418" t="s">
        <v>16</v>
      </c>
      <c r="H418" t="s">
        <v>203</v>
      </c>
      <c r="I418" t="s">
        <v>69</v>
      </c>
      <c r="J418" t="s">
        <v>4</v>
      </c>
      <c r="K418">
        <v>60707</v>
      </c>
      <c r="L418" t="s">
        <v>5</v>
      </c>
      <c r="M418" t="s">
        <v>6</v>
      </c>
      <c r="N418" s="2">
        <v>0.66180555555555554</v>
      </c>
      <c r="O418" s="2">
        <v>0.6645833333333333</v>
      </c>
      <c r="P418" s="2">
        <v>0.67500000000000004</v>
      </c>
      <c r="Q418" s="2">
        <v>0.69027777777777777</v>
      </c>
      <c r="R418" s="2">
        <v>0.70763888888888893</v>
      </c>
      <c r="S418" s="2">
        <v>0.72916666666666663</v>
      </c>
      <c r="T418" t="s">
        <v>64</v>
      </c>
      <c r="U418" t="s">
        <v>65</v>
      </c>
      <c r="V418" t="s">
        <v>8</v>
      </c>
      <c r="X418" t="s">
        <v>200</v>
      </c>
      <c r="Y418" t="s">
        <v>210</v>
      </c>
      <c r="Z418">
        <v>2</v>
      </c>
      <c r="AA418">
        <v>3</v>
      </c>
      <c r="AB418" t="s">
        <v>11</v>
      </c>
      <c r="AC418" t="s">
        <v>12</v>
      </c>
      <c r="AD418" t="s">
        <v>20</v>
      </c>
      <c r="AE418" t="s">
        <v>29</v>
      </c>
      <c r="AF418" s="1">
        <v>37668</v>
      </c>
      <c r="AG418">
        <f t="shared" ca="1" si="20"/>
        <v>22</v>
      </c>
    </row>
    <row r="419" spans="1:33" x14ac:dyDescent="0.2">
      <c r="A419" s="1">
        <v>46028</v>
      </c>
      <c r="B419" t="str">
        <f t="shared" si="18"/>
        <v>mardi</v>
      </c>
      <c r="C419" t="str">
        <f t="shared" si="19"/>
        <v>Nuit</v>
      </c>
      <c r="D419">
        <v>1492879</v>
      </c>
      <c r="E419">
        <v>2584859</v>
      </c>
      <c r="F419" t="s">
        <v>25</v>
      </c>
      <c r="G419" t="s">
        <v>25</v>
      </c>
      <c r="H419" t="s">
        <v>189</v>
      </c>
      <c r="I419" t="s">
        <v>42</v>
      </c>
      <c r="J419" t="s">
        <v>4</v>
      </c>
      <c r="K419">
        <v>60707</v>
      </c>
      <c r="L419" t="s">
        <v>5</v>
      </c>
      <c r="M419" t="s">
        <v>6</v>
      </c>
      <c r="N419" s="2">
        <v>0.88749999999999996</v>
      </c>
      <c r="O419" s="2">
        <v>0.89444444444444449</v>
      </c>
      <c r="P419" s="2">
        <v>0.90625</v>
      </c>
      <c r="Q419" s="2">
        <v>0.92777777777777781</v>
      </c>
      <c r="R419" s="2">
        <v>0.94166666666666665</v>
      </c>
      <c r="S419" s="2">
        <v>0.95833333333333337</v>
      </c>
      <c r="T419" t="s">
        <v>7</v>
      </c>
      <c r="U419" t="s">
        <v>114</v>
      </c>
      <c r="V419" t="s">
        <v>24</v>
      </c>
      <c r="X419" t="s">
        <v>206</v>
      </c>
      <c r="Y419" t="s">
        <v>207</v>
      </c>
      <c r="Z419">
        <v>3</v>
      </c>
      <c r="AA419">
        <v>3</v>
      </c>
      <c r="AB419" t="s">
        <v>11</v>
      </c>
      <c r="AC419" t="s">
        <v>12</v>
      </c>
      <c r="AD419" t="s">
        <v>212</v>
      </c>
      <c r="AE419" t="s">
        <v>29</v>
      </c>
      <c r="AF419" s="1">
        <v>16012</v>
      </c>
      <c r="AG419">
        <f t="shared" ca="1" si="20"/>
        <v>82</v>
      </c>
    </row>
    <row r="420" spans="1:33" x14ac:dyDescent="0.2">
      <c r="A420" s="1">
        <v>46031</v>
      </c>
      <c r="B420" t="str">
        <f t="shared" si="18"/>
        <v>vendredi</v>
      </c>
      <c r="C420" t="str">
        <f t="shared" si="19"/>
        <v>Jour</v>
      </c>
      <c r="D420">
        <v>1500392</v>
      </c>
      <c r="E420">
        <v>2585607</v>
      </c>
      <c r="F420" t="s">
        <v>25</v>
      </c>
      <c r="G420" t="s">
        <v>25</v>
      </c>
      <c r="H420" t="s">
        <v>189</v>
      </c>
      <c r="I420" t="s">
        <v>234</v>
      </c>
      <c r="J420" t="s">
        <v>4</v>
      </c>
      <c r="K420">
        <v>60704</v>
      </c>
      <c r="L420" t="s">
        <v>5</v>
      </c>
      <c r="M420" t="s">
        <v>6</v>
      </c>
      <c r="N420" s="2">
        <v>0.65347222222222223</v>
      </c>
      <c r="O420" s="2">
        <v>0.65902777777777777</v>
      </c>
      <c r="P420" s="2">
        <v>0.66874999999999996</v>
      </c>
      <c r="Q420" s="2">
        <v>0.67847222222222225</v>
      </c>
      <c r="R420" s="2">
        <v>0.68055555555555558</v>
      </c>
      <c r="S420" s="2">
        <v>0.69097222222222221</v>
      </c>
      <c r="T420" t="s">
        <v>24</v>
      </c>
      <c r="U420" t="s">
        <v>251</v>
      </c>
      <c r="V420" t="s">
        <v>8</v>
      </c>
      <c r="X420" t="s">
        <v>33</v>
      </c>
      <c r="Y420" t="s">
        <v>221</v>
      </c>
      <c r="Z420">
        <v>3</v>
      </c>
      <c r="AA420">
        <v>3</v>
      </c>
      <c r="AB420" t="s">
        <v>11</v>
      </c>
      <c r="AC420" t="s">
        <v>12</v>
      </c>
      <c r="AD420" t="s">
        <v>20</v>
      </c>
      <c r="AE420" t="s">
        <v>14</v>
      </c>
      <c r="AF420" s="1">
        <v>18857</v>
      </c>
      <c r="AG420">
        <f t="shared" ca="1" si="20"/>
        <v>74</v>
      </c>
    </row>
    <row r="421" spans="1:33" x14ac:dyDescent="0.2">
      <c r="A421" s="1">
        <v>46031</v>
      </c>
      <c r="B421" t="str">
        <f t="shared" si="18"/>
        <v>vendredi</v>
      </c>
      <c r="C421" t="str">
        <f t="shared" si="19"/>
        <v>Jour</v>
      </c>
      <c r="D421">
        <v>1500391</v>
      </c>
      <c r="E421">
        <v>2585564</v>
      </c>
      <c r="F421" t="s">
        <v>25</v>
      </c>
      <c r="G421" t="s">
        <v>25</v>
      </c>
      <c r="H421" t="s">
        <v>234</v>
      </c>
      <c r="I421" t="s">
        <v>189</v>
      </c>
      <c r="J421" t="s">
        <v>4</v>
      </c>
      <c r="K421">
        <v>60704</v>
      </c>
      <c r="L421" t="s">
        <v>5</v>
      </c>
      <c r="M421" t="s">
        <v>6</v>
      </c>
      <c r="N421" s="2">
        <v>0.5083333333333333</v>
      </c>
      <c r="O421" s="2">
        <v>0.51388888888888884</v>
      </c>
      <c r="P421" s="2">
        <v>0.51944444444444449</v>
      </c>
      <c r="Q421" s="2">
        <v>0.53333333333333333</v>
      </c>
      <c r="R421" s="2">
        <v>0.54305555555555551</v>
      </c>
      <c r="S421" s="2">
        <v>0.5625</v>
      </c>
      <c r="T421" t="s">
        <v>38</v>
      </c>
      <c r="U421" t="s">
        <v>265</v>
      </c>
      <c r="V421" t="s">
        <v>125</v>
      </c>
      <c r="X421" t="s">
        <v>33</v>
      </c>
      <c r="Y421" t="s">
        <v>34</v>
      </c>
      <c r="Z421">
        <v>4</v>
      </c>
      <c r="AA421">
        <v>3</v>
      </c>
      <c r="AB421" t="s">
        <v>11</v>
      </c>
      <c r="AC421" t="s">
        <v>12</v>
      </c>
      <c r="AD421" t="s">
        <v>20</v>
      </c>
      <c r="AE421" t="s">
        <v>29</v>
      </c>
      <c r="AF421" s="1">
        <v>13344</v>
      </c>
      <c r="AG421">
        <f t="shared" ca="1" si="20"/>
        <v>89</v>
      </c>
    </row>
    <row r="422" spans="1:33" x14ac:dyDescent="0.2">
      <c r="A422" s="1">
        <v>46031</v>
      </c>
      <c r="B422" t="str">
        <f t="shared" si="18"/>
        <v>vendredi</v>
      </c>
      <c r="C422" t="str">
        <f t="shared" si="19"/>
        <v>Nuit</v>
      </c>
      <c r="D422">
        <v>1492887</v>
      </c>
      <c r="E422">
        <v>2585456</v>
      </c>
      <c r="F422" t="s">
        <v>0</v>
      </c>
      <c r="G422" t="s">
        <v>16</v>
      </c>
      <c r="H422" t="s">
        <v>42</v>
      </c>
      <c r="I422" t="s">
        <v>49</v>
      </c>
      <c r="J422" t="s">
        <v>4</v>
      </c>
      <c r="K422">
        <v>60707</v>
      </c>
      <c r="L422" t="s">
        <v>5</v>
      </c>
      <c r="M422" t="s">
        <v>6</v>
      </c>
      <c r="N422" s="2">
        <v>4.4444444444444446E-2</v>
      </c>
      <c r="O422" s="2">
        <v>4.7222222222222221E-2</v>
      </c>
      <c r="P422" s="2">
        <v>5.9722222222222225E-2</v>
      </c>
      <c r="S422" s="2">
        <v>8.611111111111111E-2</v>
      </c>
      <c r="T422" t="s">
        <v>7</v>
      </c>
      <c r="U422" t="s">
        <v>114</v>
      </c>
      <c r="V422" t="s">
        <v>47</v>
      </c>
      <c r="W422" t="s">
        <v>83</v>
      </c>
      <c r="X422" t="s">
        <v>33</v>
      </c>
      <c r="Y422" t="s">
        <v>85</v>
      </c>
      <c r="Z422">
        <v>3</v>
      </c>
      <c r="AA422">
        <v>2</v>
      </c>
      <c r="AB422" t="s">
        <v>11</v>
      </c>
      <c r="AC422" t="s">
        <v>12</v>
      </c>
      <c r="AD422" t="s">
        <v>20</v>
      </c>
      <c r="AE422" t="s">
        <v>14</v>
      </c>
      <c r="AF422" s="1">
        <v>31841</v>
      </c>
      <c r="AG422">
        <f t="shared" ca="1" si="20"/>
        <v>38</v>
      </c>
    </row>
    <row r="423" spans="1:33" x14ac:dyDescent="0.2">
      <c r="A423" s="1">
        <v>46030</v>
      </c>
      <c r="B423" t="str">
        <f t="shared" si="18"/>
        <v>jeudi</v>
      </c>
      <c r="C423" t="str">
        <f t="shared" si="19"/>
        <v>Nuit</v>
      </c>
      <c r="D423">
        <v>1500206</v>
      </c>
      <c r="E423">
        <v>2585194</v>
      </c>
      <c r="F423" t="s">
        <v>0</v>
      </c>
      <c r="G423" t="s">
        <v>92</v>
      </c>
      <c r="H423" t="s">
        <v>42</v>
      </c>
      <c r="I423" t="s">
        <v>49</v>
      </c>
      <c r="J423" t="s">
        <v>4</v>
      </c>
      <c r="K423">
        <v>60709</v>
      </c>
      <c r="L423" t="s">
        <v>5</v>
      </c>
      <c r="M423" t="s">
        <v>6</v>
      </c>
      <c r="N423" s="2">
        <v>0.12708333333333333</v>
      </c>
      <c r="O423" s="2">
        <v>0.12986111111111112</v>
      </c>
      <c r="P423" s="2">
        <v>0.13402777777777777</v>
      </c>
      <c r="Q423" s="2">
        <v>0.14861111111111111</v>
      </c>
      <c r="R423" s="2">
        <v>0.15763888888888888</v>
      </c>
      <c r="S423" s="2">
        <v>0.1736111111111111</v>
      </c>
      <c r="T423" t="s">
        <v>8</v>
      </c>
      <c r="U423" t="s">
        <v>32</v>
      </c>
      <c r="V423" t="s">
        <v>8</v>
      </c>
      <c r="X423" t="s">
        <v>190</v>
      </c>
      <c r="Y423" t="s">
        <v>191</v>
      </c>
      <c r="Z423">
        <v>2</v>
      </c>
      <c r="AA423">
        <v>3</v>
      </c>
      <c r="AB423" t="s">
        <v>11</v>
      </c>
      <c r="AC423" t="s">
        <v>12</v>
      </c>
      <c r="AD423" t="s">
        <v>212</v>
      </c>
      <c r="AE423" t="s">
        <v>29</v>
      </c>
      <c r="AF423" s="1">
        <v>16215</v>
      </c>
      <c r="AG423">
        <f t="shared" ca="1" si="20"/>
        <v>81</v>
      </c>
    </row>
    <row r="424" spans="1:33" x14ac:dyDescent="0.2">
      <c r="A424" s="1">
        <v>46031</v>
      </c>
      <c r="B424" t="str">
        <f t="shared" si="18"/>
        <v>vendredi</v>
      </c>
      <c r="C424" t="str">
        <f t="shared" si="19"/>
        <v>Jour</v>
      </c>
      <c r="D424">
        <v>1500479</v>
      </c>
      <c r="E424">
        <v>2585541</v>
      </c>
      <c r="F424" t="s">
        <v>21</v>
      </c>
      <c r="G424" t="s">
        <v>1</v>
      </c>
      <c r="H424" t="s">
        <v>26</v>
      </c>
      <c r="I424" t="s">
        <v>115</v>
      </c>
      <c r="J424" t="s">
        <v>4</v>
      </c>
      <c r="K424">
        <v>60706</v>
      </c>
      <c r="L424" t="s">
        <v>5</v>
      </c>
      <c r="M424" t="s">
        <v>6</v>
      </c>
      <c r="N424" s="2">
        <v>0.45</v>
      </c>
      <c r="O424" s="2">
        <v>0.45208333333333334</v>
      </c>
      <c r="P424" s="2">
        <v>0.45416666666666666</v>
      </c>
      <c r="Q424" s="2">
        <v>0.46944444444444444</v>
      </c>
      <c r="R424" s="2">
        <v>0.47222222222222221</v>
      </c>
      <c r="S424" s="2">
        <v>0.5</v>
      </c>
      <c r="T424" t="s">
        <v>52</v>
      </c>
      <c r="U424" t="s">
        <v>251</v>
      </c>
      <c r="V424" t="s">
        <v>8</v>
      </c>
      <c r="X424" t="s">
        <v>214</v>
      </c>
      <c r="Y424" t="s">
        <v>215</v>
      </c>
      <c r="Z424">
        <v>1</v>
      </c>
      <c r="AA424">
        <v>4</v>
      </c>
      <c r="AB424" t="s">
        <v>11</v>
      </c>
      <c r="AC424" t="s">
        <v>12</v>
      </c>
      <c r="AD424" t="s">
        <v>20</v>
      </c>
      <c r="AE424" t="s">
        <v>29</v>
      </c>
      <c r="AF424" s="1">
        <v>18182</v>
      </c>
      <c r="AG424">
        <f t="shared" ca="1" si="20"/>
        <v>76</v>
      </c>
    </row>
    <row r="425" spans="1:33" x14ac:dyDescent="0.2">
      <c r="A425" s="1">
        <v>46029</v>
      </c>
      <c r="B425" t="str">
        <f t="shared" si="18"/>
        <v>mercredi</v>
      </c>
      <c r="C425" t="str">
        <f t="shared" si="19"/>
        <v>Nuit</v>
      </c>
      <c r="D425">
        <v>1500204</v>
      </c>
      <c r="E425">
        <v>2585130</v>
      </c>
      <c r="F425" t="s">
        <v>0</v>
      </c>
      <c r="G425" t="s">
        <v>16</v>
      </c>
      <c r="H425" t="s">
        <v>42</v>
      </c>
      <c r="I425" t="s">
        <v>49</v>
      </c>
      <c r="J425" t="s">
        <v>4</v>
      </c>
      <c r="K425">
        <v>60709</v>
      </c>
      <c r="L425" t="s">
        <v>5</v>
      </c>
      <c r="M425" t="s">
        <v>6</v>
      </c>
      <c r="N425" s="2">
        <v>0.83958333333333335</v>
      </c>
      <c r="O425" s="2">
        <v>0.83958333333333335</v>
      </c>
      <c r="P425" s="2">
        <v>0.84097222222222223</v>
      </c>
      <c r="Q425" s="2">
        <v>0.86458333333333337</v>
      </c>
      <c r="R425" s="2">
        <v>0.86736111111111114</v>
      </c>
      <c r="S425" s="2">
        <v>0.88194444444444442</v>
      </c>
      <c r="T425" t="s">
        <v>38</v>
      </c>
      <c r="U425" t="s">
        <v>251</v>
      </c>
      <c r="V425" t="s">
        <v>24</v>
      </c>
      <c r="X425" t="s">
        <v>192</v>
      </c>
      <c r="Y425" t="s">
        <v>198</v>
      </c>
      <c r="Z425">
        <v>3</v>
      </c>
      <c r="AA425">
        <v>2</v>
      </c>
      <c r="AB425" t="s">
        <v>11</v>
      </c>
      <c r="AC425" t="s">
        <v>28</v>
      </c>
      <c r="AD425" t="s">
        <v>20</v>
      </c>
      <c r="AE425" t="s">
        <v>29</v>
      </c>
      <c r="AF425" s="1">
        <v>16915</v>
      </c>
      <c r="AG425">
        <f t="shared" ca="1" si="20"/>
        <v>79</v>
      </c>
    </row>
    <row r="426" spans="1:33" x14ac:dyDescent="0.2">
      <c r="A426" s="1">
        <v>46031</v>
      </c>
      <c r="B426" t="str">
        <f t="shared" si="18"/>
        <v>vendredi</v>
      </c>
      <c r="C426" t="str">
        <f t="shared" si="19"/>
        <v>Jour</v>
      </c>
      <c r="D426">
        <v>1500210</v>
      </c>
      <c r="E426">
        <v>2585365</v>
      </c>
      <c r="F426" t="s">
        <v>15</v>
      </c>
      <c r="G426" t="s">
        <v>16</v>
      </c>
      <c r="H426" t="s">
        <v>115</v>
      </c>
      <c r="I426" t="s">
        <v>148</v>
      </c>
      <c r="J426" t="s">
        <v>4</v>
      </c>
      <c r="K426">
        <v>60709</v>
      </c>
      <c r="L426" t="s">
        <v>227</v>
      </c>
      <c r="M426" t="s">
        <v>195</v>
      </c>
      <c r="N426" s="2">
        <v>0.72638888888888886</v>
      </c>
      <c r="O426" s="2">
        <v>0.72777777777777775</v>
      </c>
      <c r="P426" s="2">
        <v>0.75069444444444444</v>
      </c>
      <c r="Q426" s="2">
        <v>0.76527777777777772</v>
      </c>
      <c r="R426" s="2">
        <v>0.78472222222222221</v>
      </c>
      <c r="S426" s="2">
        <v>0.80208333333333337</v>
      </c>
      <c r="T426" t="s">
        <v>7</v>
      </c>
      <c r="U426" t="s">
        <v>30</v>
      </c>
      <c r="V426" t="s">
        <v>8</v>
      </c>
      <c r="X426" t="s">
        <v>100</v>
      </c>
      <c r="Y426" t="s">
        <v>217</v>
      </c>
      <c r="Z426">
        <v>2</v>
      </c>
      <c r="AA426">
        <v>3</v>
      </c>
      <c r="AB426" t="s">
        <v>11</v>
      </c>
      <c r="AC426" t="s">
        <v>12</v>
      </c>
      <c r="AD426" t="s">
        <v>20</v>
      </c>
      <c r="AE426" t="s">
        <v>29</v>
      </c>
      <c r="AF426" s="1">
        <v>32312</v>
      </c>
      <c r="AG426">
        <f t="shared" ca="1" si="20"/>
        <v>37</v>
      </c>
    </row>
    <row r="427" spans="1:33" x14ac:dyDescent="0.2">
      <c r="A427" s="1">
        <v>46030</v>
      </c>
      <c r="B427" t="str">
        <f t="shared" si="18"/>
        <v>jeudi</v>
      </c>
      <c r="C427" t="str">
        <f t="shared" si="19"/>
        <v>Jour</v>
      </c>
      <c r="D427">
        <v>1500477</v>
      </c>
      <c r="E427">
        <v>2585314</v>
      </c>
      <c r="F427" t="s">
        <v>21</v>
      </c>
      <c r="G427" t="s">
        <v>1</v>
      </c>
      <c r="H427" t="s">
        <v>26</v>
      </c>
      <c r="I427" t="s">
        <v>131</v>
      </c>
      <c r="J427" t="s">
        <v>256</v>
      </c>
      <c r="K427">
        <v>60706</v>
      </c>
      <c r="L427" t="s">
        <v>5</v>
      </c>
      <c r="M427" t="s">
        <v>6</v>
      </c>
      <c r="N427" s="2">
        <v>0.58958333333333335</v>
      </c>
      <c r="O427" s="2">
        <v>0.59166666666666667</v>
      </c>
      <c r="P427" s="2">
        <v>0.59722222222222221</v>
      </c>
      <c r="Q427" s="2">
        <v>0.62013888888888891</v>
      </c>
      <c r="R427" s="2">
        <v>0.62986111111111109</v>
      </c>
      <c r="S427" s="2">
        <v>0.65972222222222221</v>
      </c>
      <c r="T427" t="s">
        <v>7</v>
      </c>
      <c r="U427" t="s">
        <v>18</v>
      </c>
      <c r="V427" t="s">
        <v>8</v>
      </c>
      <c r="X427" t="s">
        <v>264</v>
      </c>
      <c r="Y427" t="s">
        <v>215</v>
      </c>
      <c r="Z427">
        <v>2</v>
      </c>
      <c r="AA427">
        <v>4</v>
      </c>
      <c r="AB427" t="s">
        <v>11</v>
      </c>
      <c r="AC427" t="s">
        <v>12</v>
      </c>
      <c r="AD427" t="s">
        <v>20</v>
      </c>
      <c r="AE427" t="s">
        <v>14</v>
      </c>
      <c r="AF427" s="1">
        <v>33928</v>
      </c>
      <c r="AG427">
        <f t="shared" ca="1" si="20"/>
        <v>33</v>
      </c>
    </row>
    <row r="428" spans="1:33" x14ac:dyDescent="0.2">
      <c r="A428" s="1">
        <v>46030</v>
      </c>
      <c r="B428" t="str">
        <f t="shared" si="18"/>
        <v>jeudi</v>
      </c>
      <c r="C428" t="str">
        <f t="shared" si="19"/>
        <v>Jour</v>
      </c>
      <c r="D428">
        <v>1500475</v>
      </c>
      <c r="E428">
        <v>2585266</v>
      </c>
      <c r="F428" t="s">
        <v>21</v>
      </c>
      <c r="G428" t="s">
        <v>1</v>
      </c>
      <c r="H428" t="s">
        <v>26</v>
      </c>
      <c r="I428" t="s">
        <v>131</v>
      </c>
      <c r="J428" t="s">
        <v>256</v>
      </c>
      <c r="K428">
        <v>60706</v>
      </c>
      <c r="L428" t="s">
        <v>61</v>
      </c>
      <c r="M428" t="s">
        <v>195</v>
      </c>
      <c r="N428" s="2">
        <v>0.43958333333333333</v>
      </c>
      <c r="O428" s="2">
        <v>0.43958333333333333</v>
      </c>
      <c r="P428" s="2">
        <v>0.44236111111111109</v>
      </c>
      <c r="Q428" s="2">
        <v>0.46111111111111114</v>
      </c>
      <c r="R428" s="2">
        <v>0.46388888888888891</v>
      </c>
      <c r="S428" s="2">
        <v>0.49652777777777779</v>
      </c>
      <c r="T428" t="s">
        <v>52</v>
      </c>
      <c r="U428" t="s">
        <v>251</v>
      </c>
      <c r="V428" t="s">
        <v>8</v>
      </c>
      <c r="X428" t="s">
        <v>231</v>
      </c>
      <c r="Y428" t="s">
        <v>232</v>
      </c>
      <c r="Z428">
        <v>1</v>
      </c>
      <c r="AA428">
        <v>4</v>
      </c>
      <c r="AB428" t="s">
        <v>11</v>
      </c>
      <c r="AC428" t="s">
        <v>12</v>
      </c>
      <c r="AD428" t="s">
        <v>20</v>
      </c>
      <c r="AE428" t="s">
        <v>14</v>
      </c>
      <c r="AF428" s="1">
        <v>21602</v>
      </c>
      <c r="AG428">
        <f t="shared" ca="1" si="20"/>
        <v>66</v>
      </c>
    </row>
    <row r="429" spans="1:33" x14ac:dyDescent="0.2">
      <c r="A429" s="1">
        <v>46031</v>
      </c>
      <c r="B429" t="str">
        <f t="shared" si="18"/>
        <v>vendredi</v>
      </c>
      <c r="C429" t="str">
        <f t="shared" si="19"/>
        <v>Nuit</v>
      </c>
      <c r="D429">
        <v>1494182</v>
      </c>
      <c r="E429">
        <v>2585464</v>
      </c>
      <c r="F429" t="s">
        <v>45</v>
      </c>
      <c r="G429" t="s">
        <v>16</v>
      </c>
      <c r="H429" t="s">
        <v>78</v>
      </c>
      <c r="I429" t="s">
        <v>37</v>
      </c>
      <c r="J429" t="s">
        <v>4</v>
      </c>
      <c r="K429">
        <v>60708</v>
      </c>
      <c r="L429" t="s">
        <v>5</v>
      </c>
      <c r="M429" t="s">
        <v>6</v>
      </c>
      <c r="N429" s="2">
        <v>0.10972222222222222</v>
      </c>
      <c r="O429" s="2">
        <v>0.1125</v>
      </c>
      <c r="P429" s="2">
        <v>0.11597222222222223</v>
      </c>
      <c r="Q429" s="2">
        <v>0.1361111111111111</v>
      </c>
      <c r="R429" s="2">
        <v>0.14166666666666666</v>
      </c>
      <c r="S429" s="2">
        <v>0.16319444444444445</v>
      </c>
      <c r="T429" t="s">
        <v>7</v>
      </c>
      <c r="U429" t="s">
        <v>251</v>
      </c>
      <c r="V429" t="s">
        <v>8</v>
      </c>
      <c r="X429" t="s">
        <v>33</v>
      </c>
      <c r="Y429" t="s">
        <v>194</v>
      </c>
      <c r="Z429">
        <v>3</v>
      </c>
      <c r="AA429">
        <v>2</v>
      </c>
      <c r="AB429" t="s">
        <v>11</v>
      </c>
      <c r="AC429" t="s">
        <v>12</v>
      </c>
      <c r="AD429" t="s">
        <v>113</v>
      </c>
      <c r="AE429" t="s">
        <v>29</v>
      </c>
      <c r="AF429" s="1">
        <v>25065</v>
      </c>
      <c r="AG429">
        <f t="shared" ca="1" si="20"/>
        <v>57</v>
      </c>
    </row>
    <row r="430" spans="1:33" x14ac:dyDescent="0.2">
      <c r="A430" s="1">
        <v>46030</v>
      </c>
      <c r="B430" t="str">
        <f t="shared" si="18"/>
        <v>jeudi</v>
      </c>
      <c r="C430" t="str">
        <f t="shared" si="19"/>
        <v>Nuit</v>
      </c>
      <c r="D430">
        <v>1494181</v>
      </c>
      <c r="E430">
        <v>2585416</v>
      </c>
      <c r="F430" t="s">
        <v>45</v>
      </c>
      <c r="G430" t="s">
        <v>16</v>
      </c>
      <c r="H430" t="s">
        <v>37</v>
      </c>
      <c r="I430" t="s">
        <v>78</v>
      </c>
      <c r="J430" t="s">
        <v>4</v>
      </c>
      <c r="K430">
        <v>60708</v>
      </c>
      <c r="L430" t="s">
        <v>5</v>
      </c>
      <c r="M430" t="s">
        <v>6</v>
      </c>
      <c r="N430" s="2">
        <v>0.86736111111111114</v>
      </c>
      <c r="O430" s="2">
        <v>0.86944444444444446</v>
      </c>
      <c r="P430" s="2">
        <v>0.87777777777777777</v>
      </c>
      <c r="Q430" s="2">
        <v>0.91041666666666665</v>
      </c>
      <c r="R430" s="2">
        <v>0.92361111111111116</v>
      </c>
      <c r="S430" s="2">
        <v>0.95138888888888884</v>
      </c>
      <c r="T430" t="s">
        <v>7</v>
      </c>
      <c r="U430" t="s">
        <v>18</v>
      </c>
      <c r="V430" t="s">
        <v>24</v>
      </c>
      <c r="X430" t="s">
        <v>74</v>
      </c>
      <c r="Y430" t="s">
        <v>75</v>
      </c>
      <c r="Z430">
        <v>3</v>
      </c>
      <c r="AA430">
        <v>2</v>
      </c>
      <c r="AB430" t="s">
        <v>11</v>
      </c>
      <c r="AC430" t="s">
        <v>28</v>
      </c>
      <c r="AD430" t="s">
        <v>44</v>
      </c>
      <c r="AE430" t="s">
        <v>29</v>
      </c>
      <c r="AF430" s="1">
        <v>15575</v>
      </c>
      <c r="AG430">
        <f t="shared" ca="1" si="20"/>
        <v>83</v>
      </c>
    </row>
    <row r="431" spans="1:33" x14ac:dyDescent="0.2">
      <c r="A431" s="1">
        <v>46030</v>
      </c>
      <c r="B431" t="str">
        <f t="shared" si="18"/>
        <v>jeudi</v>
      </c>
      <c r="C431" t="str">
        <f t="shared" si="19"/>
        <v>Nuit</v>
      </c>
      <c r="D431">
        <v>1492886</v>
      </c>
      <c r="E431">
        <v>2585407</v>
      </c>
      <c r="F431" t="s">
        <v>0</v>
      </c>
      <c r="G431" t="s">
        <v>1</v>
      </c>
      <c r="H431" t="s">
        <v>49</v>
      </c>
      <c r="I431" t="s">
        <v>42</v>
      </c>
      <c r="J431" t="s">
        <v>4</v>
      </c>
      <c r="K431">
        <v>60707</v>
      </c>
      <c r="L431" t="s">
        <v>61</v>
      </c>
      <c r="M431" t="s">
        <v>195</v>
      </c>
      <c r="N431" s="2">
        <v>0.84513888888888888</v>
      </c>
      <c r="O431" s="2">
        <v>0.84583333333333333</v>
      </c>
      <c r="P431" s="2">
        <v>0.84930555555555554</v>
      </c>
      <c r="Q431" s="2">
        <v>0.87847222222222221</v>
      </c>
      <c r="R431" s="2">
        <v>0.88541666666666663</v>
      </c>
      <c r="S431" s="2">
        <v>0.92013888888888884</v>
      </c>
      <c r="T431" t="s">
        <v>7</v>
      </c>
      <c r="U431" t="s">
        <v>32</v>
      </c>
      <c r="V431" t="s">
        <v>8</v>
      </c>
      <c r="X431" t="s">
        <v>100</v>
      </c>
      <c r="Y431" t="s">
        <v>217</v>
      </c>
      <c r="Z431">
        <v>2</v>
      </c>
      <c r="AA431">
        <v>3</v>
      </c>
      <c r="AB431" t="s">
        <v>11</v>
      </c>
      <c r="AC431" t="s">
        <v>12</v>
      </c>
      <c r="AD431" t="s">
        <v>20</v>
      </c>
      <c r="AE431" t="s">
        <v>29</v>
      </c>
      <c r="AF431" s="1">
        <v>44750</v>
      </c>
      <c r="AG431">
        <f t="shared" ca="1" si="20"/>
        <v>3</v>
      </c>
    </row>
    <row r="432" spans="1:33" x14ac:dyDescent="0.2">
      <c r="A432" s="1">
        <v>46030</v>
      </c>
      <c r="B432" t="str">
        <f t="shared" si="18"/>
        <v>jeudi</v>
      </c>
      <c r="C432" t="str">
        <f t="shared" si="19"/>
        <v>Jour</v>
      </c>
      <c r="D432">
        <v>1500474</v>
      </c>
      <c r="E432">
        <v>2585228</v>
      </c>
      <c r="F432" t="s">
        <v>21</v>
      </c>
      <c r="G432" t="s">
        <v>16</v>
      </c>
      <c r="H432" t="s">
        <v>131</v>
      </c>
      <c r="I432" t="s">
        <v>26</v>
      </c>
      <c r="J432" t="s">
        <v>256</v>
      </c>
      <c r="K432">
        <v>60706</v>
      </c>
      <c r="L432" t="s">
        <v>5</v>
      </c>
      <c r="M432" t="s">
        <v>6</v>
      </c>
      <c r="N432" s="2">
        <v>0.34027777777777779</v>
      </c>
      <c r="O432" s="2">
        <v>0.34236111111111112</v>
      </c>
      <c r="P432" s="2">
        <v>0.35069444444444442</v>
      </c>
      <c r="Q432" s="2">
        <v>0.38472222222222224</v>
      </c>
      <c r="R432" s="2">
        <v>0.39166666666666666</v>
      </c>
      <c r="S432" s="2">
        <v>0.41666666666666669</v>
      </c>
      <c r="T432" t="s">
        <v>38</v>
      </c>
      <c r="U432" t="s">
        <v>251</v>
      </c>
      <c r="V432" t="s">
        <v>8</v>
      </c>
      <c r="X432" t="s">
        <v>66</v>
      </c>
      <c r="Y432" t="s">
        <v>85</v>
      </c>
      <c r="Z432">
        <v>2</v>
      </c>
      <c r="AA432">
        <v>3</v>
      </c>
      <c r="AB432" t="s">
        <v>11</v>
      </c>
      <c r="AC432" t="s">
        <v>12</v>
      </c>
      <c r="AD432" t="s">
        <v>113</v>
      </c>
      <c r="AE432" t="s">
        <v>14</v>
      </c>
      <c r="AF432" s="1">
        <v>14728</v>
      </c>
      <c r="AG432">
        <f t="shared" ca="1" si="20"/>
        <v>85</v>
      </c>
    </row>
    <row r="433" spans="1:33" x14ac:dyDescent="0.2">
      <c r="A433" s="1">
        <v>46030</v>
      </c>
      <c r="B433" t="str">
        <f t="shared" si="18"/>
        <v>jeudi</v>
      </c>
      <c r="C433" t="str">
        <f t="shared" si="19"/>
        <v>Jour</v>
      </c>
      <c r="D433">
        <v>1500478</v>
      </c>
      <c r="E433">
        <v>2585364</v>
      </c>
      <c r="F433" t="s">
        <v>21</v>
      </c>
      <c r="G433" t="s">
        <v>1</v>
      </c>
      <c r="H433" t="s">
        <v>131</v>
      </c>
      <c r="I433" t="s">
        <v>26</v>
      </c>
      <c r="J433" t="s">
        <v>256</v>
      </c>
      <c r="K433">
        <v>60706</v>
      </c>
      <c r="L433" t="s">
        <v>61</v>
      </c>
      <c r="M433" t="s">
        <v>195</v>
      </c>
      <c r="N433" s="2">
        <v>0.71527777777777779</v>
      </c>
      <c r="O433" s="2">
        <v>0.71736111111111112</v>
      </c>
      <c r="P433" s="2">
        <v>0.72291666666666665</v>
      </c>
      <c r="Q433" s="2">
        <v>0.74791666666666667</v>
      </c>
      <c r="R433" s="2">
        <v>0.75763888888888886</v>
      </c>
      <c r="S433" s="2">
        <v>0.78125</v>
      </c>
      <c r="T433" t="s">
        <v>43</v>
      </c>
      <c r="U433" t="s">
        <v>18</v>
      </c>
      <c r="V433" t="s">
        <v>24</v>
      </c>
      <c r="X433" t="s">
        <v>105</v>
      </c>
      <c r="Y433" t="s">
        <v>106</v>
      </c>
      <c r="Z433">
        <v>3</v>
      </c>
      <c r="AA433">
        <v>2</v>
      </c>
      <c r="AB433" t="s">
        <v>93</v>
      </c>
      <c r="AC433" t="s">
        <v>28</v>
      </c>
      <c r="AD433" t="s">
        <v>149</v>
      </c>
      <c r="AE433" t="s">
        <v>14</v>
      </c>
      <c r="AF433" s="1">
        <v>26034</v>
      </c>
      <c r="AG433">
        <f t="shared" ca="1" si="20"/>
        <v>54</v>
      </c>
    </row>
    <row r="434" spans="1:33" x14ac:dyDescent="0.2">
      <c r="A434" s="1">
        <v>46029</v>
      </c>
      <c r="B434" t="str">
        <f t="shared" si="18"/>
        <v>mercredi</v>
      </c>
      <c r="C434" t="str">
        <f t="shared" si="19"/>
        <v>Jour</v>
      </c>
      <c r="D434">
        <v>1500349</v>
      </c>
      <c r="E434">
        <v>2584944</v>
      </c>
      <c r="F434" t="s">
        <v>15</v>
      </c>
      <c r="G434" t="s">
        <v>1</v>
      </c>
      <c r="H434" t="s">
        <v>78</v>
      </c>
      <c r="I434" t="s">
        <v>49</v>
      </c>
      <c r="J434" t="s">
        <v>4</v>
      </c>
      <c r="K434">
        <v>60709</v>
      </c>
      <c r="L434" t="s">
        <v>5</v>
      </c>
      <c r="M434" t="s">
        <v>6</v>
      </c>
      <c r="N434" s="2">
        <v>0.34444444444444444</v>
      </c>
      <c r="O434" s="2">
        <v>0.34583333333333333</v>
      </c>
      <c r="P434" s="2">
        <v>0.35208333333333336</v>
      </c>
      <c r="Q434" s="2">
        <v>0.375</v>
      </c>
      <c r="R434" s="2">
        <v>0.39027777777777778</v>
      </c>
      <c r="S434" s="2">
        <v>0.40972222222222221</v>
      </c>
      <c r="T434" t="s">
        <v>7</v>
      </c>
      <c r="U434" t="s">
        <v>132</v>
      </c>
      <c r="V434" t="s">
        <v>24</v>
      </c>
      <c r="X434" t="s">
        <v>190</v>
      </c>
      <c r="Y434" t="s">
        <v>191</v>
      </c>
      <c r="Z434">
        <v>3</v>
      </c>
      <c r="AA434">
        <v>2</v>
      </c>
      <c r="AB434" t="s">
        <v>11</v>
      </c>
      <c r="AC434" t="s">
        <v>12</v>
      </c>
      <c r="AD434" t="s">
        <v>212</v>
      </c>
      <c r="AE434" t="s">
        <v>14</v>
      </c>
      <c r="AF434" s="1">
        <v>15613</v>
      </c>
      <c r="AG434">
        <f t="shared" ca="1" si="20"/>
        <v>83</v>
      </c>
    </row>
    <row r="435" spans="1:33" x14ac:dyDescent="0.2">
      <c r="A435" s="1">
        <v>46030</v>
      </c>
      <c r="B435" t="str">
        <f t="shared" si="18"/>
        <v>jeudi</v>
      </c>
      <c r="C435" t="str">
        <f t="shared" si="19"/>
        <v>Jour</v>
      </c>
      <c r="D435">
        <v>1492885</v>
      </c>
      <c r="E435">
        <v>2585347</v>
      </c>
      <c r="F435" t="s">
        <v>25</v>
      </c>
      <c r="G435" t="s">
        <v>25</v>
      </c>
      <c r="H435" t="s">
        <v>234</v>
      </c>
      <c r="I435" t="s">
        <v>129</v>
      </c>
      <c r="J435" t="s">
        <v>4</v>
      </c>
      <c r="K435">
        <v>60707</v>
      </c>
      <c r="L435" t="s">
        <v>5</v>
      </c>
      <c r="M435" t="s">
        <v>6</v>
      </c>
      <c r="N435" s="2">
        <v>0.66319444444444442</v>
      </c>
      <c r="O435" s="2">
        <v>0.67222222222222228</v>
      </c>
      <c r="P435" s="2">
        <v>0.69097222222222221</v>
      </c>
      <c r="Q435" s="2">
        <v>0.70416666666666672</v>
      </c>
      <c r="R435" s="2">
        <v>0.70833333333333337</v>
      </c>
      <c r="S435" s="2">
        <v>0.72916666666666663</v>
      </c>
      <c r="T435" t="s">
        <v>24</v>
      </c>
      <c r="U435" t="s">
        <v>251</v>
      </c>
      <c r="V435" t="s">
        <v>8</v>
      </c>
      <c r="X435" t="s">
        <v>74</v>
      </c>
      <c r="Y435" t="s">
        <v>75</v>
      </c>
      <c r="Z435">
        <v>3</v>
      </c>
      <c r="AA435">
        <v>3</v>
      </c>
      <c r="AB435" t="s">
        <v>11</v>
      </c>
      <c r="AC435" t="s">
        <v>28</v>
      </c>
      <c r="AD435" t="s">
        <v>44</v>
      </c>
      <c r="AE435" t="s">
        <v>14</v>
      </c>
      <c r="AF435" s="1">
        <v>26611</v>
      </c>
      <c r="AG435">
        <f t="shared" ca="1" si="20"/>
        <v>53</v>
      </c>
    </row>
    <row r="436" spans="1:33" x14ac:dyDescent="0.2">
      <c r="A436" s="1">
        <v>46029</v>
      </c>
      <c r="B436" t="str">
        <f t="shared" si="18"/>
        <v>mercredi</v>
      </c>
      <c r="C436" t="str">
        <f t="shared" si="19"/>
        <v>Jour</v>
      </c>
      <c r="D436">
        <v>1500202</v>
      </c>
      <c r="E436">
        <v>2585024</v>
      </c>
      <c r="F436" t="s">
        <v>15</v>
      </c>
      <c r="G436" t="s">
        <v>16</v>
      </c>
      <c r="H436" t="s">
        <v>78</v>
      </c>
      <c r="I436" t="s">
        <v>67</v>
      </c>
      <c r="J436" t="s">
        <v>4</v>
      </c>
      <c r="K436">
        <v>60709</v>
      </c>
      <c r="L436" t="s">
        <v>5</v>
      </c>
      <c r="M436" t="s">
        <v>6</v>
      </c>
      <c r="N436" s="2">
        <v>0.5229166666666667</v>
      </c>
      <c r="O436" s="2">
        <v>0.52638888888888891</v>
      </c>
      <c r="P436" s="2">
        <v>0.53263888888888888</v>
      </c>
      <c r="Q436" s="2">
        <v>0.5541666666666667</v>
      </c>
      <c r="R436" s="2">
        <v>0.59305555555555556</v>
      </c>
      <c r="S436" s="2">
        <v>0.625</v>
      </c>
      <c r="T436" t="s">
        <v>7</v>
      </c>
      <c r="U436" t="s">
        <v>263</v>
      </c>
      <c r="V436" t="s">
        <v>8</v>
      </c>
      <c r="X436" t="s">
        <v>190</v>
      </c>
      <c r="Y436" t="s">
        <v>191</v>
      </c>
      <c r="Z436">
        <v>2</v>
      </c>
      <c r="AA436">
        <v>3</v>
      </c>
      <c r="AB436" t="s">
        <v>11</v>
      </c>
      <c r="AC436" t="s">
        <v>12</v>
      </c>
      <c r="AD436" t="s">
        <v>36</v>
      </c>
      <c r="AE436" t="s">
        <v>14</v>
      </c>
      <c r="AF436" s="1">
        <v>23793</v>
      </c>
      <c r="AG436">
        <f t="shared" ca="1" si="20"/>
        <v>60</v>
      </c>
    </row>
    <row r="437" spans="1:33" x14ac:dyDescent="0.2">
      <c r="A437" s="1">
        <v>46029</v>
      </c>
      <c r="B437" t="str">
        <f t="shared" si="18"/>
        <v>mercredi</v>
      </c>
      <c r="C437" t="str">
        <f t="shared" si="19"/>
        <v>Nuit</v>
      </c>
      <c r="D437">
        <v>1500205</v>
      </c>
      <c r="E437">
        <v>2585172</v>
      </c>
      <c r="F437" t="s">
        <v>0</v>
      </c>
      <c r="G437" t="s">
        <v>16</v>
      </c>
      <c r="H437" t="s">
        <v>49</v>
      </c>
      <c r="I437" t="s">
        <v>42</v>
      </c>
      <c r="J437" t="s">
        <v>4</v>
      </c>
      <c r="K437">
        <v>60709</v>
      </c>
      <c r="L437" t="s">
        <v>5</v>
      </c>
      <c r="M437" t="s">
        <v>6</v>
      </c>
      <c r="N437" s="2">
        <v>0.97777777777777775</v>
      </c>
      <c r="O437" s="2">
        <v>0.98124999999999996</v>
      </c>
      <c r="P437" s="2">
        <v>0.98819444444444449</v>
      </c>
      <c r="Q437" s="2">
        <v>1.7361111111111112E-2</v>
      </c>
      <c r="R437" s="2">
        <v>3.125E-2</v>
      </c>
      <c r="S437" s="2">
        <v>4.1666666666666664E-2</v>
      </c>
      <c r="T437" t="s">
        <v>64</v>
      </c>
      <c r="U437" t="s">
        <v>32</v>
      </c>
      <c r="V437" t="s">
        <v>8</v>
      </c>
      <c r="X437" t="s">
        <v>33</v>
      </c>
      <c r="Y437" t="s">
        <v>59</v>
      </c>
      <c r="Z437">
        <v>3</v>
      </c>
      <c r="AA437">
        <v>2</v>
      </c>
      <c r="AB437" t="s">
        <v>11</v>
      </c>
      <c r="AC437" t="s">
        <v>12</v>
      </c>
      <c r="AD437" t="s">
        <v>20</v>
      </c>
      <c r="AE437" t="s">
        <v>29</v>
      </c>
      <c r="AF437" s="1">
        <v>35934</v>
      </c>
      <c r="AG437">
        <f t="shared" ca="1" si="20"/>
        <v>27</v>
      </c>
    </row>
    <row r="438" spans="1:33" x14ac:dyDescent="0.2">
      <c r="A438" s="1">
        <v>46030</v>
      </c>
      <c r="B438" t="str">
        <f t="shared" si="18"/>
        <v>jeudi</v>
      </c>
      <c r="C438" t="str">
        <f t="shared" si="19"/>
        <v>Jour</v>
      </c>
      <c r="D438">
        <v>1500209</v>
      </c>
      <c r="E438">
        <v>2585341</v>
      </c>
      <c r="F438" t="s">
        <v>15</v>
      </c>
      <c r="G438" t="s">
        <v>92</v>
      </c>
      <c r="H438" t="s">
        <v>148</v>
      </c>
      <c r="I438" t="s">
        <v>115</v>
      </c>
      <c r="J438" t="s">
        <v>4</v>
      </c>
      <c r="K438">
        <v>60709</v>
      </c>
      <c r="L438" t="s">
        <v>5</v>
      </c>
      <c r="M438" t="s">
        <v>6</v>
      </c>
      <c r="N438" s="2">
        <v>0.64513888888888893</v>
      </c>
      <c r="O438" s="2">
        <v>0.64722222222222225</v>
      </c>
      <c r="P438" s="2">
        <v>0.65069444444444446</v>
      </c>
      <c r="Q438" s="2">
        <v>0.66319444444444442</v>
      </c>
      <c r="R438" s="2">
        <v>0.66736111111111107</v>
      </c>
      <c r="S438" s="2">
        <v>0.68055555555555558</v>
      </c>
      <c r="T438" t="s">
        <v>125</v>
      </c>
      <c r="U438" t="s">
        <v>263</v>
      </c>
      <c r="V438" t="s">
        <v>8</v>
      </c>
      <c r="X438" t="s">
        <v>190</v>
      </c>
      <c r="Y438" t="s">
        <v>259</v>
      </c>
      <c r="Z438">
        <v>3</v>
      </c>
      <c r="AA438">
        <v>2</v>
      </c>
      <c r="AB438" t="s">
        <v>11</v>
      </c>
      <c r="AC438" t="s">
        <v>12</v>
      </c>
      <c r="AD438" t="s">
        <v>20</v>
      </c>
      <c r="AE438" t="s">
        <v>14</v>
      </c>
      <c r="AF438" s="1">
        <v>15156</v>
      </c>
      <c r="AG438">
        <f t="shared" ca="1" si="20"/>
        <v>84</v>
      </c>
    </row>
    <row r="439" spans="1:33" x14ac:dyDescent="0.2">
      <c r="A439" s="1">
        <v>46030</v>
      </c>
      <c r="B439" t="str">
        <f t="shared" si="18"/>
        <v>jeudi</v>
      </c>
      <c r="C439" t="str">
        <f t="shared" si="19"/>
        <v>Jour</v>
      </c>
      <c r="D439">
        <v>1500476</v>
      </c>
      <c r="E439">
        <v>2585288</v>
      </c>
      <c r="F439" t="s">
        <v>21</v>
      </c>
      <c r="G439" t="s">
        <v>1</v>
      </c>
      <c r="H439" t="s">
        <v>131</v>
      </c>
      <c r="I439" t="s">
        <v>26</v>
      </c>
      <c r="J439" t="s">
        <v>4</v>
      </c>
      <c r="K439">
        <v>60706</v>
      </c>
      <c r="L439" t="s">
        <v>5</v>
      </c>
      <c r="M439" t="s">
        <v>6</v>
      </c>
      <c r="N439" s="2">
        <v>0.5</v>
      </c>
      <c r="O439" s="2">
        <v>0.50208333333333333</v>
      </c>
      <c r="P439" s="2">
        <v>0.50416666666666665</v>
      </c>
      <c r="Q439" s="2">
        <v>0.5229166666666667</v>
      </c>
      <c r="R439" s="2">
        <v>0.52916666666666667</v>
      </c>
      <c r="S439" s="2">
        <v>0.55208333333333337</v>
      </c>
      <c r="T439" t="s">
        <v>38</v>
      </c>
      <c r="U439" t="s">
        <v>251</v>
      </c>
      <c r="V439" t="s">
        <v>8</v>
      </c>
      <c r="X439" t="s">
        <v>190</v>
      </c>
      <c r="Y439" t="s">
        <v>191</v>
      </c>
      <c r="Z439">
        <v>2</v>
      </c>
      <c r="AA439">
        <v>3</v>
      </c>
      <c r="AB439" t="s">
        <v>11</v>
      </c>
      <c r="AC439" t="s">
        <v>12</v>
      </c>
      <c r="AD439" t="s">
        <v>20</v>
      </c>
      <c r="AE439" t="s">
        <v>14</v>
      </c>
      <c r="AF439" s="1">
        <v>10380</v>
      </c>
      <c r="AG439">
        <f t="shared" ca="1" si="20"/>
        <v>97</v>
      </c>
    </row>
    <row r="440" spans="1:33" x14ac:dyDescent="0.2">
      <c r="A440" s="1">
        <v>46030</v>
      </c>
      <c r="B440" t="str">
        <f t="shared" si="18"/>
        <v>jeudi</v>
      </c>
      <c r="C440" t="str">
        <f t="shared" si="19"/>
        <v>Jour</v>
      </c>
      <c r="D440">
        <v>1500208</v>
      </c>
      <c r="E440">
        <v>2585272</v>
      </c>
      <c r="F440" t="s">
        <v>15</v>
      </c>
      <c r="G440" t="s">
        <v>16</v>
      </c>
      <c r="H440" t="s">
        <v>115</v>
      </c>
      <c r="I440" t="s">
        <v>148</v>
      </c>
      <c r="J440" t="s">
        <v>4</v>
      </c>
      <c r="K440">
        <v>60709</v>
      </c>
      <c r="L440" t="s">
        <v>5</v>
      </c>
      <c r="M440" t="s">
        <v>6</v>
      </c>
      <c r="N440" s="2">
        <v>0.45277777777777778</v>
      </c>
      <c r="O440" s="2">
        <v>0.45416666666666666</v>
      </c>
      <c r="P440" s="2">
        <v>0.45902777777777776</v>
      </c>
      <c r="Q440" s="2">
        <v>0.49305555555555558</v>
      </c>
      <c r="R440" s="2">
        <v>0.50763888888888886</v>
      </c>
      <c r="S440" s="2">
        <v>0.52083333333333337</v>
      </c>
      <c r="T440" t="s">
        <v>87</v>
      </c>
      <c r="U440" t="s">
        <v>263</v>
      </c>
      <c r="V440" t="s">
        <v>8</v>
      </c>
      <c r="X440" t="s">
        <v>66</v>
      </c>
      <c r="Y440" t="s">
        <v>85</v>
      </c>
      <c r="Z440">
        <v>2</v>
      </c>
      <c r="AA440">
        <v>3</v>
      </c>
      <c r="AB440" t="s">
        <v>11</v>
      </c>
      <c r="AC440" t="s">
        <v>12</v>
      </c>
      <c r="AD440" t="s">
        <v>113</v>
      </c>
      <c r="AE440" t="s">
        <v>14</v>
      </c>
      <c r="AF440" s="1">
        <v>36670</v>
      </c>
      <c r="AG440">
        <f t="shared" ca="1" si="20"/>
        <v>25</v>
      </c>
    </row>
    <row r="441" spans="1:33" x14ac:dyDescent="0.2">
      <c r="A441" s="1">
        <v>46029</v>
      </c>
      <c r="B441" t="str">
        <f t="shared" si="18"/>
        <v>mercredi</v>
      </c>
      <c r="C441" t="str">
        <f t="shared" si="19"/>
        <v>Jour</v>
      </c>
      <c r="D441">
        <v>1473351</v>
      </c>
      <c r="E441">
        <v>2585074</v>
      </c>
      <c r="F441" t="s">
        <v>25</v>
      </c>
      <c r="G441" t="s">
        <v>25</v>
      </c>
      <c r="H441" t="s">
        <v>115</v>
      </c>
      <c r="I441" t="s">
        <v>57</v>
      </c>
      <c r="J441" t="s">
        <v>4</v>
      </c>
      <c r="K441">
        <v>60705</v>
      </c>
      <c r="L441" t="s">
        <v>5</v>
      </c>
      <c r="M441" t="s">
        <v>6</v>
      </c>
      <c r="N441" s="2">
        <v>0.6479166666666667</v>
      </c>
      <c r="O441" s="2">
        <v>0.65347222222222223</v>
      </c>
      <c r="P441" s="2">
        <v>0.66388888888888886</v>
      </c>
      <c r="Q441" s="2">
        <v>0.68263888888888891</v>
      </c>
      <c r="R441" s="2">
        <v>0.68819444444444444</v>
      </c>
      <c r="S441" s="2">
        <v>0.70138888888888884</v>
      </c>
      <c r="T441" t="s">
        <v>64</v>
      </c>
      <c r="U441" t="s">
        <v>65</v>
      </c>
      <c r="V441" t="s">
        <v>64</v>
      </c>
      <c r="X441" t="s">
        <v>19</v>
      </c>
      <c r="Y441" t="s">
        <v>211</v>
      </c>
      <c r="Z441">
        <v>2</v>
      </c>
      <c r="AA441">
        <v>3</v>
      </c>
      <c r="AB441" t="s">
        <v>11</v>
      </c>
      <c r="AC441" t="s">
        <v>12</v>
      </c>
      <c r="AD441" t="s">
        <v>20</v>
      </c>
      <c r="AE441" t="s">
        <v>29</v>
      </c>
      <c r="AF441" s="1">
        <v>32060</v>
      </c>
      <c r="AG441">
        <f t="shared" ca="1" si="20"/>
        <v>38</v>
      </c>
    </row>
    <row r="442" spans="1:33" x14ac:dyDescent="0.2">
      <c r="A442" s="1">
        <v>46030</v>
      </c>
      <c r="B442" t="str">
        <f t="shared" si="18"/>
        <v>jeudi</v>
      </c>
      <c r="C442" t="str">
        <f t="shared" si="19"/>
        <v>Jour</v>
      </c>
      <c r="D442">
        <v>1492884</v>
      </c>
      <c r="E442">
        <v>2585256</v>
      </c>
      <c r="F442" t="s">
        <v>25</v>
      </c>
      <c r="G442" t="s">
        <v>25</v>
      </c>
      <c r="H442" t="s">
        <v>129</v>
      </c>
      <c r="I442" t="s">
        <v>234</v>
      </c>
      <c r="J442" t="s">
        <v>4</v>
      </c>
      <c r="K442">
        <v>60707</v>
      </c>
      <c r="L442" t="s">
        <v>5</v>
      </c>
      <c r="M442" t="s">
        <v>6</v>
      </c>
      <c r="N442" s="2">
        <v>0.41388888888888886</v>
      </c>
      <c r="O442" s="2">
        <v>0.41736111111111113</v>
      </c>
      <c r="P442" s="2">
        <v>0.43125000000000002</v>
      </c>
      <c r="Q442" s="2">
        <v>0.46666666666666667</v>
      </c>
      <c r="R442" s="2">
        <v>0.47430555555555554</v>
      </c>
      <c r="S442" s="2">
        <v>0.48958333333333331</v>
      </c>
      <c r="T442" t="s">
        <v>38</v>
      </c>
      <c r="U442" t="s">
        <v>251</v>
      </c>
      <c r="V442" t="s">
        <v>86</v>
      </c>
      <c r="X442" t="s">
        <v>31</v>
      </c>
      <c r="Y442" t="s">
        <v>123</v>
      </c>
      <c r="Z442">
        <v>3</v>
      </c>
      <c r="AA442">
        <v>3</v>
      </c>
      <c r="AB442" t="s">
        <v>11</v>
      </c>
      <c r="AC442" t="s">
        <v>12</v>
      </c>
      <c r="AD442" t="s">
        <v>113</v>
      </c>
      <c r="AE442" t="s">
        <v>29</v>
      </c>
      <c r="AF442" s="1">
        <v>11042</v>
      </c>
      <c r="AG442">
        <f t="shared" ca="1" si="20"/>
        <v>95</v>
      </c>
    </row>
    <row r="443" spans="1:33" x14ac:dyDescent="0.2">
      <c r="A443" s="1">
        <v>46030</v>
      </c>
      <c r="B443" t="str">
        <f t="shared" si="18"/>
        <v>jeudi</v>
      </c>
      <c r="C443" t="str">
        <f t="shared" si="19"/>
        <v>Jour</v>
      </c>
      <c r="D443">
        <v>1500207</v>
      </c>
      <c r="E443">
        <v>2585225</v>
      </c>
      <c r="F443" t="s">
        <v>15</v>
      </c>
      <c r="G443" t="s">
        <v>16</v>
      </c>
      <c r="H443" t="s">
        <v>148</v>
      </c>
      <c r="I443" t="s">
        <v>115</v>
      </c>
      <c r="J443" t="s">
        <v>4</v>
      </c>
      <c r="K443">
        <v>60709</v>
      </c>
      <c r="L443" t="s">
        <v>5</v>
      </c>
      <c r="M443" t="s">
        <v>6</v>
      </c>
      <c r="N443" s="2">
        <v>0.33194444444444443</v>
      </c>
      <c r="O443" s="2">
        <v>0.33402777777777776</v>
      </c>
      <c r="P443" s="2">
        <v>0.34444444444444444</v>
      </c>
      <c r="Q443" s="2">
        <v>0.38124999999999998</v>
      </c>
      <c r="R443" s="2">
        <v>0.39444444444444443</v>
      </c>
      <c r="S443" s="2">
        <v>0.40972222222222221</v>
      </c>
      <c r="T443" t="s">
        <v>7</v>
      </c>
      <c r="U443" t="s">
        <v>82</v>
      </c>
      <c r="V443" t="s">
        <v>24</v>
      </c>
      <c r="X443" t="s">
        <v>74</v>
      </c>
      <c r="Y443" t="s">
        <v>75</v>
      </c>
      <c r="Z443">
        <v>2</v>
      </c>
      <c r="AA443">
        <v>3</v>
      </c>
      <c r="AB443" t="s">
        <v>11</v>
      </c>
      <c r="AC443" t="s">
        <v>28</v>
      </c>
      <c r="AD443" t="s">
        <v>44</v>
      </c>
      <c r="AE443" t="s">
        <v>29</v>
      </c>
      <c r="AF443" s="1">
        <v>18307</v>
      </c>
      <c r="AG443">
        <f t="shared" ca="1" si="20"/>
        <v>75</v>
      </c>
    </row>
    <row r="444" spans="1:33" x14ac:dyDescent="0.2">
      <c r="A444" s="1">
        <v>46029</v>
      </c>
      <c r="B444" t="str">
        <f t="shared" si="18"/>
        <v>mercredi</v>
      </c>
      <c r="C444" t="str">
        <f t="shared" si="19"/>
        <v>Nuit</v>
      </c>
      <c r="D444">
        <v>1500473</v>
      </c>
      <c r="E444">
        <v>2585167</v>
      </c>
      <c r="F444" t="s">
        <v>45</v>
      </c>
      <c r="G444" t="s">
        <v>16</v>
      </c>
      <c r="H444" t="s">
        <v>41</v>
      </c>
      <c r="I444" t="s">
        <v>81</v>
      </c>
      <c r="J444" t="s">
        <v>4</v>
      </c>
      <c r="K444">
        <v>60706</v>
      </c>
      <c r="L444" t="s">
        <v>5</v>
      </c>
      <c r="M444" t="s">
        <v>6</v>
      </c>
      <c r="N444" s="2">
        <v>0.9604166666666667</v>
      </c>
      <c r="O444" s="2">
        <v>0.96180555555555558</v>
      </c>
      <c r="P444" s="2">
        <v>0.96805555555555556</v>
      </c>
      <c r="Q444" s="2">
        <v>0.97499999999999998</v>
      </c>
      <c r="R444" s="2">
        <v>0.98124999999999996</v>
      </c>
      <c r="S444" s="2">
        <v>0</v>
      </c>
      <c r="T444" t="s">
        <v>43</v>
      </c>
      <c r="U444" t="s">
        <v>251</v>
      </c>
      <c r="V444" t="s">
        <v>8</v>
      </c>
      <c r="X444" t="s">
        <v>200</v>
      </c>
      <c r="Y444" t="s">
        <v>51</v>
      </c>
      <c r="Z444">
        <v>3</v>
      </c>
      <c r="AA444">
        <v>2</v>
      </c>
      <c r="AB444" t="s">
        <v>11</v>
      </c>
      <c r="AC444" t="s">
        <v>12</v>
      </c>
      <c r="AD444" t="s">
        <v>20</v>
      </c>
      <c r="AE444" t="s">
        <v>29</v>
      </c>
      <c r="AF444" s="1">
        <v>35139</v>
      </c>
      <c r="AG444">
        <f t="shared" ca="1" si="20"/>
        <v>29</v>
      </c>
    </row>
    <row r="445" spans="1:33" x14ac:dyDescent="0.2">
      <c r="A445" s="1">
        <v>46028</v>
      </c>
      <c r="B445" t="str">
        <f t="shared" si="18"/>
        <v>mardi</v>
      </c>
      <c r="C445" t="str">
        <f t="shared" si="19"/>
        <v>Jour</v>
      </c>
      <c r="D445">
        <v>1417498</v>
      </c>
      <c r="E445">
        <v>2584777</v>
      </c>
      <c r="F445" t="s">
        <v>21</v>
      </c>
      <c r="G445" t="s">
        <v>1</v>
      </c>
      <c r="H445" t="s">
        <v>55</v>
      </c>
      <c r="I445" t="s">
        <v>37</v>
      </c>
      <c r="J445" t="s">
        <v>4</v>
      </c>
      <c r="K445">
        <v>60706</v>
      </c>
      <c r="L445" t="s">
        <v>5</v>
      </c>
      <c r="M445" t="s">
        <v>6</v>
      </c>
      <c r="N445" s="2">
        <v>0.56527777777777777</v>
      </c>
      <c r="O445" s="2">
        <v>0.57222222222222219</v>
      </c>
      <c r="P445" s="2">
        <v>0.57916666666666672</v>
      </c>
      <c r="Q445" s="2">
        <v>0.60486111111111107</v>
      </c>
      <c r="R445" s="2">
        <v>0.61805555555555558</v>
      </c>
      <c r="S445" s="2">
        <v>0.63194444444444442</v>
      </c>
      <c r="T445" t="s">
        <v>7</v>
      </c>
      <c r="U445" t="s">
        <v>251</v>
      </c>
      <c r="V445" t="s">
        <v>8</v>
      </c>
      <c r="X445" t="s">
        <v>33</v>
      </c>
      <c r="Y445" t="s">
        <v>259</v>
      </c>
      <c r="Z445">
        <v>3</v>
      </c>
      <c r="AA445">
        <v>3</v>
      </c>
      <c r="AB445" t="s">
        <v>11</v>
      </c>
      <c r="AC445" t="s">
        <v>12</v>
      </c>
      <c r="AD445" t="s">
        <v>20</v>
      </c>
      <c r="AE445" t="s">
        <v>29</v>
      </c>
      <c r="AF445" s="1">
        <v>15969</v>
      </c>
      <c r="AG445">
        <f t="shared" ca="1" si="20"/>
        <v>82</v>
      </c>
    </row>
    <row r="446" spans="1:33" x14ac:dyDescent="0.2">
      <c r="A446" s="1">
        <v>46029</v>
      </c>
      <c r="B446" t="str">
        <f t="shared" si="18"/>
        <v>mercredi</v>
      </c>
      <c r="C446" t="str">
        <f t="shared" si="19"/>
        <v>Jour</v>
      </c>
      <c r="D446">
        <v>1500468</v>
      </c>
      <c r="E446">
        <v>2584949</v>
      </c>
      <c r="F446" t="s">
        <v>21</v>
      </c>
      <c r="G446" t="s">
        <v>1</v>
      </c>
      <c r="H446" t="s">
        <v>55</v>
      </c>
      <c r="I446" t="s">
        <v>37</v>
      </c>
      <c r="J446" t="s">
        <v>4</v>
      </c>
      <c r="K446">
        <v>60706</v>
      </c>
      <c r="L446" t="s">
        <v>5</v>
      </c>
      <c r="M446" t="s">
        <v>6</v>
      </c>
      <c r="N446" s="2">
        <v>0.35069444444444442</v>
      </c>
      <c r="O446" s="2">
        <v>0.35208333333333336</v>
      </c>
      <c r="P446" s="2">
        <v>0.40138888888888891</v>
      </c>
      <c r="Q446" s="2">
        <v>0.37986111111111109</v>
      </c>
      <c r="R446" s="2">
        <v>0.39305555555555555</v>
      </c>
      <c r="S446" s="2">
        <v>0.40972222222222221</v>
      </c>
      <c r="T446" t="s">
        <v>125</v>
      </c>
      <c r="U446" t="s">
        <v>32</v>
      </c>
      <c r="V446" t="s">
        <v>8</v>
      </c>
      <c r="X446" t="s">
        <v>192</v>
      </c>
      <c r="Y446" t="s">
        <v>198</v>
      </c>
      <c r="Z446">
        <v>2</v>
      </c>
      <c r="AA446">
        <v>3</v>
      </c>
      <c r="AB446" t="s">
        <v>11</v>
      </c>
      <c r="AC446" t="s">
        <v>28</v>
      </c>
      <c r="AD446" t="s">
        <v>20</v>
      </c>
      <c r="AE446" t="s">
        <v>29</v>
      </c>
      <c r="AF446" s="1">
        <v>25338</v>
      </c>
      <c r="AG446">
        <f t="shared" ca="1" si="20"/>
        <v>56</v>
      </c>
    </row>
    <row r="447" spans="1:33" x14ac:dyDescent="0.2">
      <c r="A447" s="1">
        <v>46029</v>
      </c>
      <c r="B447" t="str">
        <f t="shared" si="18"/>
        <v>mercredi</v>
      </c>
      <c r="C447" t="str">
        <f t="shared" si="19"/>
        <v>Jour</v>
      </c>
      <c r="D447">
        <v>1500203</v>
      </c>
      <c r="E447">
        <v>2585097</v>
      </c>
      <c r="F447" t="s">
        <v>15</v>
      </c>
      <c r="G447" t="s">
        <v>1</v>
      </c>
      <c r="H447" t="s">
        <v>67</v>
      </c>
      <c r="I447" t="s">
        <v>78</v>
      </c>
      <c r="J447" t="s">
        <v>50</v>
      </c>
      <c r="K447">
        <v>60709</v>
      </c>
      <c r="L447" t="s">
        <v>61</v>
      </c>
      <c r="M447" t="s">
        <v>195</v>
      </c>
      <c r="N447" s="2">
        <v>0.70694444444444449</v>
      </c>
      <c r="O447" s="2">
        <v>0.70833333333333337</v>
      </c>
      <c r="P447" s="2">
        <v>0.7104166666666667</v>
      </c>
      <c r="Q447" s="2">
        <v>0.73888888888888893</v>
      </c>
      <c r="R447" s="2">
        <v>0.75</v>
      </c>
      <c r="S447" s="2">
        <v>0.77083333333333337</v>
      </c>
      <c r="T447" t="s">
        <v>7</v>
      </c>
      <c r="U447" t="s">
        <v>32</v>
      </c>
      <c r="V447" t="s">
        <v>8</v>
      </c>
      <c r="X447" t="s">
        <v>190</v>
      </c>
      <c r="Y447" t="s">
        <v>191</v>
      </c>
      <c r="Z447">
        <v>2</v>
      </c>
      <c r="AA447">
        <v>3</v>
      </c>
      <c r="AB447" t="s">
        <v>11</v>
      </c>
      <c r="AC447" t="s">
        <v>12</v>
      </c>
      <c r="AD447" t="s">
        <v>20</v>
      </c>
      <c r="AE447" t="s">
        <v>14</v>
      </c>
      <c r="AF447" s="1">
        <v>11536</v>
      </c>
      <c r="AG447">
        <f t="shared" ca="1" si="20"/>
        <v>94</v>
      </c>
    </row>
    <row r="448" spans="1:33" x14ac:dyDescent="0.2">
      <c r="A448" s="1">
        <v>46029</v>
      </c>
      <c r="B448" t="str">
        <f t="shared" si="18"/>
        <v>mercredi</v>
      </c>
      <c r="C448" t="str">
        <f t="shared" si="19"/>
        <v>Jour</v>
      </c>
      <c r="D448">
        <v>1500471</v>
      </c>
      <c r="E448">
        <v>2585096</v>
      </c>
      <c r="F448" t="s">
        <v>21</v>
      </c>
      <c r="G448" t="s">
        <v>1</v>
      </c>
      <c r="H448" t="s">
        <v>37</v>
      </c>
      <c r="I448" t="s">
        <v>55</v>
      </c>
      <c r="J448" t="s">
        <v>256</v>
      </c>
      <c r="K448">
        <v>60706</v>
      </c>
      <c r="L448" t="s">
        <v>5</v>
      </c>
      <c r="M448" t="s">
        <v>6</v>
      </c>
      <c r="N448" s="2">
        <v>0.70277777777777772</v>
      </c>
      <c r="O448" s="2">
        <v>0.7055555555555556</v>
      </c>
      <c r="P448" s="2">
        <v>0.70694444444444449</v>
      </c>
      <c r="Q448" s="2">
        <v>0.73541666666666672</v>
      </c>
      <c r="R448" s="2">
        <v>0.74097222222222225</v>
      </c>
      <c r="S448" s="2">
        <v>0.76736111111111116</v>
      </c>
      <c r="T448" t="s">
        <v>7</v>
      </c>
      <c r="U448" t="s">
        <v>251</v>
      </c>
      <c r="V448" t="s">
        <v>8</v>
      </c>
      <c r="X448" t="s">
        <v>252</v>
      </c>
      <c r="Y448" t="s">
        <v>48</v>
      </c>
      <c r="Z448">
        <v>3</v>
      </c>
      <c r="AA448">
        <v>3</v>
      </c>
      <c r="AB448" t="s">
        <v>11</v>
      </c>
      <c r="AC448" t="s">
        <v>12</v>
      </c>
      <c r="AD448" t="s">
        <v>20</v>
      </c>
      <c r="AE448" t="s">
        <v>14</v>
      </c>
      <c r="AF448" s="1">
        <v>22615</v>
      </c>
      <c r="AG448">
        <f t="shared" ca="1" si="20"/>
        <v>64</v>
      </c>
    </row>
    <row r="449" spans="1:33" x14ac:dyDescent="0.2">
      <c r="A449" s="1">
        <v>46029</v>
      </c>
      <c r="B449" t="str">
        <f t="shared" si="18"/>
        <v>mercredi</v>
      </c>
      <c r="C449" t="str">
        <f t="shared" si="19"/>
        <v>Jour</v>
      </c>
      <c r="D449">
        <v>1500470</v>
      </c>
      <c r="E449">
        <v>2585037</v>
      </c>
      <c r="F449" t="s">
        <v>21</v>
      </c>
      <c r="G449" t="s">
        <v>1</v>
      </c>
      <c r="H449" t="s">
        <v>55</v>
      </c>
      <c r="I449" t="s">
        <v>37</v>
      </c>
      <c r="J449" t="s">
        <v>4</v>
      </c>
      <c r="K449">
        <v>60706</v>
      </c>
      <c r="L449" t="s">
        <v>5</v>
      </c>
      <c r="M449" t="s">
        <v>6</v>
      </c>
      <c r="N449" s="2">
        <v>0.55069444444444449</v>
      </c>
      <c r="O449" s="2">
        <v>0.55208333333333337</v>
      </c>
      <c r="P449" s="2">
        <v>0.55625000000000002</v>
      </c>
      <c r="Q449" s="2">
        <v>0.60416666666666663</v>
      </c>
      <c r="R449" s="2">
        <v>0.61458333333333337</v>
      </c>
      <c r="S449" s="2">
        <v>0.63541666666666663</v>
      </c>
      <c r="T449" t="s">
        <v>7</v>
      </c>
      <c r="U449" t="s">
        <v>251</v>
      </c>
      <c r="V449" t="s">
        <v>8</v>
      </c>
      <c r="X449" t="s">
        <v>252</v>
      </c>
      <c r="Y449" t="s">
        <v>48</v>
      </c>
      <c r="Z449">
        <v>2</v>
      </c>
      <c r="AA449">
        <v>3</v>
      </c>
      <c r="AB449" t="s">
        <v>11</v>
      </c>
      <c r="AC449" t="s">
        <v>12</v>
      </c>
      <c r="AD449" t="s">
        <v>212</v>
      </c>
      <c r="AE449" t="s">
        <v>14</v>
      </c>
      <c r="AF449" s="1">
        <v>25070</v>
      </c>
      <c r="AG449">
        <f t="shared" ca="1" si="20"/>
        <v>57</v>
      </c>
    </row>
    <row r="450" spans="1:33" x14ac:dyDescent="0.2">
      <c r="A450" s="1">
        <v>46029</v>
      </c>
      <c r="B450" t="str">
        <f t="shared" ref="B450:B513" si="21">TEXT(A450,"JJJJ")</f>
        <v>mercredi</v>
      </c>
      <c r="C450" t="str">
        <f t="shared" ref="C450:C513" si="22">IF(AND(HOUR(N450)&gt;=7,HOUR(N450)&lt;=19),"Jour","Nuit")</f>
        <v>Jour</v>
      </c>
      <c r="D450">
        <v>1500469</v>
      </c>
      <c r="E450">
        <v>2584995</v>
      </c>
      <c r="F450" t="s">
        <v>21</v>
      </c>
      <c r="G450" t="s">
        <v>1</v>
      </c>
      <c r="H450" t="s">
        <v>37</v>
      </c>
      <c r="I450" t="s">
        <v>55</v>
      </c>
      <c r="J450" t="s">
        <v>4</v>
      </c>
      <c r="K450">
        <v>60706</v>
      </c>
      <c r="L450" t="s">
        <v>5</v>
      </c>
      <c r="M450" t="s">
        <v>6</v>
      </c>
      <c r="N450" s="2">
        <v>0.47291666666666665</v>
      </c>
      <c r="O450" s="2">
        <v>0.47569444444444442</v>
      </c>
      <c r="P450" s="2">
        <v>0.47847222222222224</v>
      </c>
      <c r="S450" s="2">
        <v>0.50972222222222219</v>
      </c>
      <c r="T450" t="s">
        <v>87</v>
      </c>
      <c r="U450" t="s">
        <v>54</v>
      </c>
      <c r="V450" t="s">
        <v>47</v>
      </c>
      <c r="W450" t="s">
        <v>248</v>
      </c>
      <c r="X450" t="s">
        <v>226</v>
      </c>
      <c r="Y450" t="s">
        <v>187</v>
      </c>
      <c r="Z450" t="s">
        <v>73</v>
      </c>
      <c r="AA450">
        <v>9</v>
      </c>
      <c r="AB450" t="s">
        <v>11</v>
      </c>
      <c r="AC450" t="s">
        <v>28</v>
      </c>
      <c r="AD450" t="s">
        <v>20</v>
      </c>
      <c r="AG450">
        <f t="shared" ref="AG450:AG513" ca="1" si="23">INT((TODAY()-AF450)/365.25)</f>
        <v>126</v>
      </c>
    </row>
    <row r="451" spans="1:33" x14ac:dyDescent="0.2">
      <c r="A451" s="1">
        <v>46029</v>
      </c>
      <c r="B451" t="str">
        <f t="shared" si="21"/>
        <v>mercredi</v>
      </c>
      <c r="C451" t="str">
        <f t="shared" si="22"/>
        <v>Jour</v>
      </c>
      <c r="D451">
        <v>1500350</v>
      </c>
      <c r="E451">
        <v>2584971</v>
      </c>
      <c r="F451" t="s">
        <v>15</v>
      </c>
      <c r="G451" t="s">
        <v>1</v>
      </c>
      <c r="H451" t="s">
        <v>67</v>
      </c>
      <c r="I451" t="s">
        <v>78</v>
      </c>
      <c r="J451" t="s">
        <v>50</v>
      </c>
      <c r="K451">
        <v>60709</v>
      </c>
      <c r="L451" t="s">
        <v>61</v>
      </c>
      <c r="M451" t="s">
        <v>195</v>
      </c>
      <c r="N451" s="2">
        <v>0.40972222222222221</v>
      </c>
      <c r="O451" s="2">
        <v>0.40972222222222221</v>
      </c>
      <c r="P451" s="2">
        <v>0.41666666666666669</v>
      </c>
      <c r="Q451" s="2">
        <v>0.45624999999999999</v>
      </c>
      <c r="R451" s="2">
        <v>0.46597222222222223</v>
      </c>
      <c r="S451" s="2">
        <v>0.48958333333333331</v>
      </c>
      <c r="T451" t="s">
        <v>7</v>
      </c>
      <c r="U451" t="s">
        <v>130</v>
      </c>
      <c r="V451" t="s">
        <v>8</v>
      </c>
      <c r="X451" t="s">
        <v>9</v>
      </c>
      <c r="Y451" t="s">
        <v>10</v>
      </c>
      <c r="Z451">
        <v>2</v>
      </c>
      <c r="AA451">
        <v>3</v>
      </c>
      <c r="AB451" t="s">
        <v>11</v>
      </c>
      <c r="AC451" t="s">
        <v>12</v>
      </c>
      <c r="AD451" t="s">
        <v>20</v>
      </c>
      <c r="AE451" t="s">
        <v>14</v>
      </c>
      <c r="AF451" s="1">
        <v>12925</v>
      </c>
      <c r="AG451">
        <f t="shared" ca="1" si="23"/>
        <v>90</v>
      </c>
    </row>
    <row r="452" spans="1:33" x14ac:dyDescent="0.2">
      <c r="A452" s="1">
        <v>46029</v>
      </c>
      <c r="B452" t="str">
        <f t="shared" si="21"/>
        <v>mercredi</v>
      </c>
      <c r="C452" t="str">
        <f t="shared" si="22"/>
        <v>Jour</v>
      </c>
      <c r="D452">
        <v>1417500</v>
      </c>
      <c r="E452">
        <v>2584984</v>
      </c>
      <c r="F452" t="s">
        <v>25</v>
      </c>
      <c r="G452" t="s">
        <v>25</v>
      </c>
      <c r="H452" t="s">
        <v>57</v>
      </c>
      <c r="I452" t="s">
        <v>115</v>
      </c>
      <c r="J452" t="s">
        <v>4</v>
      </c>
      <c r="K452">
        <v>60705</v>
      </c>
      <c r="L452" t="s">
        <v>5</v>
      </c>
      <c r="M452" t="s">
        <v>6</v>
      </c>
      <c r="N452" s="2">
        <v>0.45</v>
      </c>
      <c r="O452" s="2">
        <v>0.45763888888888887</v>
      </c>
      <c r="P452" s="2">
        <v>0.46875</v>
      </c>
      <c r="Q452" s="2">
        <v>0.47708333333333336</v>
      </c>
      <c r="R452" s="2">
        <v>0.49236111111111114</v>
      </c>
      <c r="S452" s="2">
        <v>0.51041666666666663</v>
      </c>
      <c r="T452" t="s">
        <v>64</v>
      </c>
      <c r="U452" t="s">
        <v>65</v>
      </c>
      <c r="V452" t="s">
        <v>8</v>
      </c>
      <c r="X452" t="s">
        <v>33</v>
      </c>
      <c r="Y452" t="s">
        <v>194</v>
      </c>
      <c r="Z452">
        <v>3</v>
      </c>
      <c r="AA452">
        <v>3</v>
      </c>
      <c r="AB452" t="s">
        <v>11</v>
      </c>
      <c r="AC452" t="s">
        <v>12</v>
      </c>
      <c r="AD452" t="s">
        <v>20</v>
      </c>
      <c r="AE452" t="s">
        <v>29</v>
      </c>
      <c r="AF452" s="1">
        <v>29140</v>
      </c>
      <c r="AG452">
        <f t="shared" ca="1" si="23"/>
        <v>46</v>
      </c>
    </row>
    <row r="453" spans="1:33" x14ac:dyDescent="0.2">
      <c r="A453" s="1">
        <v>46028</v>
      </c>
      <c r="B453" t="str">
        <f t="shared" si="21"/>
        <v>mardi</v>
      </c>
      <c r="C453" t="str">
        <f t="shared" si="22"/>
        <v>Nuit</v>
      </c>
      <c r="D453">
        <v>1500467</v>
      </c>
      <c r="E453">
        <v>2524894</v>
      </c>
      <c r="F453" t="s">
        <v>45</v>
      </c>
      <c r="G453" t="s">
        <v>16</v>
      </c>
      <c r="H453" t="s">
        <v>202</v>
      </c>
      <c r="I453" t="s">
        <v>98</v>
      </c>
      <c r="J453" t="s">
        <v>4</v>
      </c>
      <c r="K453">
        <v>60706</v>
      </c>
      <c r="L453" t="s">
        <v>61</v>
      </c>
      <c r="M453" t="s">
        <v>253</v>
      </c>
      <c r="N453" s="2">
        <v>0.9604166666666667</v>
      </c>
      <c r="O453" s="2">
        <v>0.96180555555555558</v>
      </c>
      <c r="P453" s="2">
        <v>0.96458333333333335</v>
      </c>
      <c r="S453" s="2">
        <v>6.2500000000000003E-3</v>
      </c>
      <c r="T453" t="s">
        <v>7</v>
      </c>
      <c r="U453" t="s">
        <v>251</v>
      </c>
      <c r="V453" t="s">
        <v>47</v>
      </c>
      <c r="W453" t="s">
        <v>216</v>
      </c>
      <c r="X453" t="s">
        <v>19</v>
      </c>
      <c r="Y453" t="s">
        <v>236</v>
      </c>
      <c r="Z453">
        <v>3</v>
      </c>
      <c r="AA453">
        <v>1</v>
      </c>
      <c r="AB453" t="s">
        <v>11</v>
      </c>
      <c r="AC453" t="s">
        <v>12</v>
      </c>
      <c r="AD453" t="s">
        <v>20</v>
      </c>
      <c r="AE453" t="s">
        <v>14</v>
      </c>
      <c r="AF453" s="1">
        <v>26764</v>
      </c>
      <c r="AG453">
        <f t="shared" ca="1" si="23"/>
        <v>52</v>
      </c>
    </row>
    <row r="454" spans="1:33" x14ac:dyDescent="0.2">
      <c r="A454" s="1">
        <v>46029</v>
      </c>
      <c r="B454" t="str">
        <f t="shared" si="21"/>
        <v>mercredi</v>
      </c>
      <c r="C454" t="str">
        <f t="shared" si="22"/>
        <v>Jour</v>
      </c>
      <c r="D454">
        <v>1492878</v>
      </c>
      <c r="E454">
        <v>2584840</v>
      </c>
      <c r="F454" t="s">
        <v>56</v>
      </c>
      <c r="G454" t="s">
        <v>1</v>
      </c>
      <c r="H454" t="s">
        <v>57</v>
      </c>
      <c r="I454" t="s">
        <v>37</v>
      </c>
      <c r="J454" t="s">
        <v>4</v>
      </c>
      <c r="K454">
        <v>60707</v>
      </c>
      <c r="L454" t="s">
        <v>5</v>
      </c>
      <c r="M454" t="s">
        <v>6</v>
      </c>
      <c r="N454" s="2">
        <v>0.74861111111111112</v>
      </c>
      <c r="O454" s="2">
        <v>0.75</v>
      </c>
      <c r="P454" s="2">
        <v>0.7583333333333333</v>
      </c>
      <c r="Q454" s="2">
        <v>0.76249999999999996</v>
      </c>
      <c r="R454" s="2">
        <v>0.77083333333333337</v>
      </c>
      <c r="S454" s="2">
        <v>0.79166666666666663</v>
      </c>
      <c r="T454" t="s">
        <v>7</v>
      </c>
      <c r="U454" t="s">
        <v>265</v>
      </c>
      <c r="V454" t="s">
        <v>8</v>
      </c>
      <c r="X454" t="s">
        <v>200</v>
      </c>
      <c r="Y454" t="s">
        <v>210</v>
      </c>
      <c r="Z454">
        <v>2</v>
      </c>
      <c r="AA454">
        <v>4</v>
      </c>
      <c r="AB454" t="s">
        <v>11</v>
      </c>
      <c r="AC454" t="s">
        <v>12</v>
      </c>
      <c r="AD454" t="s">
        <v>20</v>
      </c>
      <c r="AE454" t="s">
        <v>14</v>
      </c>
      <c r="AF454" s="1">
        <v>23841</v>
      </c>
      <c r="AG454">
        <f t="shared" ca="1" si="23"/>
        <v>60</v>
      </c>
    </row>
    <row r="455" spans="1:33" x14ac:dyDescent="0.2">
      <c r="A455" s="1">
        <v>46028</v>
      </c>
      <c r="B455" t="str">
        <f t="shared" si="21"/>
        <v>mardi</v>
      </c>
      <c r="C455" t="str">
        <f t="shared" si="22"/>
        <v>Nuit</v>
      </c>
      <c r="D455">
        <v>1500347</v>
      </c>
      <c r="E455">
        <v>2584886</v>
      </c>
      <c r="F455" t="s">
        <v>0</v>
      </c>
      <c r="G455" t="s">
        <v>1</v>
      </c>
      <c r="H455" t="s">
        <v>239</v>
      </c>
      <c r="I455" t="s">
        <v>81</v>
      </c>
      <c r="J455" t="s">
        <v>4</v>
      </c>
      <c r="K455">
        <v>60709</v>
      </c>
      <c r="L455" t="s">
        <v>5</v>
      </c>
      <c r="M455" t="s">
        <v>6</v>
      </c>
      <c r="N455" s="2">
        <v>0.92777777777777781</v>
      </c>
      <c r="O455" s="2">
        <v>0.92986111111111114</v>
      </c>
      <c r="P455" s="2">
        <v>0.93194444444444446</v>
      </c>
      <c r="Q455" s="2">
        <v>0.94930555555555551</v>
      </c>
      <c r="R455" s="2">
        <v>0.95902777777777781</v>
      </c>
      <c r="S455" s="2">
        <v>0.97916666666666663</v>
      </c>
      <c r="T455" t="s">
        <v>7</v>
      </c>
      <c r="U455" t="s">
        <v>32</v>
      </c>
      <c r="V455" t="s">
        <v>8</v>
      </c>
      <c r="X455" t="s">
        <v>33</v>
      </c>
      <c r="Y455" t="s">
        <v>259</v>
      </c>
      <c r="Z455">
        <v>3</v>
      </c>
      <c r="AA455">
        <v>2</v>
      </c>
      <c r="AB455" t="s">
        <v>11</v>
      </c>
      <c r="AC455" t="s">
        <v>12</v>
      </c>
      <c r="AD455" t="s">
        <v>20</v>
      </c>
      <c r="AE455" t="s">
        <v>29</v>
      </c>
      <c r="AG455">
        <f t="shared" ca="1" si="23"/>
        <v>126</v>
      </c>
    </row>
    <row r="456" spans="1:33" x14ac:dyDescent="0.2">
      <c r="A456" s="1">
        <v>46028</v>
      </c>
      <c r="B456" t="str">
        <f t="shared" si="21"/>
        <v>mardi</v>
      </c>
      <c r="C456" t="str">
        <f t="shared" si="22"/>
        <v>Jour</v>
      </c>
      <c r="D456">
        <v>1500466</v>
      </c>
      <c r="E456">
        <v>2584853</v>
      </c>
      <c r="F456" t="s">
        <v>45</v>
      </c>
      <c r="G456" t="s">
        <v>1</v>
      </c>
      <c r="H456" t="s">
        <v>98</v>
      </c>
      <c r="I456" t="s">
        <v>202</v>
      </c>
      <c r="J456" t="s">
        <v>4</v>
      </c>
      <c r="K456">
        <v>60706</v>
      </c>
      <c r="L456" t="s">
        <v>5</v>
      </c>
      <c r="M456" t="s">
        <v>6</v>
      </c>
      <c r="N456" s="2">
        <v>0.81180555555555556</v>
      </c>
      <c r="O456" s="2">
        <v>0.8125</v>
      </c>
      <c r="P456" s="2">
        <v>0.81597222222222221</v>
      </c>
      <c r="Q456" s="2">
        <v>0.8256944444444444</v>
      </c>
      <c r="R456" s="2">
        <v>0.82847222222222228</v>
      </c>
      <c r="S456" s="2">
        <v>0.85416666666666663</v>
      </c>
      <c r="T456" t="s">
        <v>7</v>
      </c>
      <c r="U456" t="s">
        <v>251</v>
      </c>
      <c r="V456" t="s">
        <v>8</v>
      </c>
      <c r="X456" t="s">
        <v>214</v>
      </c>
      <c r="Y456" t="s">
        <v>215</v>
      </c>
      <c r="Z456">
        <v>1</v>
      </c>
      <c r="AA456">
        <v>4</v>
      </c>
      <c r="AB456" t="s">
        <v>11</v>
      </c>
      <c r="AC456" t="s">
        <v>12</v>
      </c>
      <c r="AD456" t="s">
        <v>20</v>
      </c>
      <c r="AE456" t="s">
        <v>29</v>
      </c>
      <c r="AF456" s="1">
        <v>10580</v>
      </c>
      <c r="AG456">
        <f t="shared" ca="1" si="23"/>
        <v>97</v>
      </c>
    </row>
    <row r="457" spans="1:33" x14ac:dyDescent="0.2">
      <c r="A457" s="1">
        <v>46027</v>
      </c>
      <c r="B457" t="str">
        <f t="shared" si="21"/>
        <v>lundi</v>
      </c>
      <c r="C457" t="str">
        <f t="shared" si="22"/>
        <v>Jour</v>
      </c>
      <c r="D457">
        <v>1500459</v>
      </c>
      <c r="E457">
        <v>2584541</v>
      </c>
      <c r="F457" t="s">
        <v>21</v>
      </c>
      <c r="G457" t="s">
        <v>1</v>
      </c>
      <c r="H457" t="s">
        <v>98</v>
      </c>
      <c r="I457" t="s">
        <v>41</v>
      </c>
      <c r="J457" t="s">
        <v>256</v>
      </c>
      <c r="K457">
        <v>60706</v>
      </c>
      <c r="L457" t="s">
        <v>5</v>
      </c>
      <c r="M457" t="s">
        <v>6</v>
      </c>
      <c r="N457" s="2">
        <v>0.74791666666666667</v>
      </c>
      <c r="O457" s="2">
        <v>0.74861111111111112</v>
      </c>
      <c r="P457" s="2">
        <v>0.75694444444444442</v>
      </c>
      <c r="Q457" s="2">
        <v>0.76736111111111116</v>
      </c>
      <c r="R457" s="2">
        <v>0.77569444444444446</v>
      </c>
      <c r="S457" s="2">
        <v>0.80208333333333337</v>
      </c>
      <c r="T457" t="s">
        <v>7</v>
      </c>
      <c r="U457" t="s">
        <v>46</v>
      </c>
      <c r="V457" t="s">
        <v>8</v>
      </c>
      <c r="X457" t="s">
        <v>238</v>
      </c>
      <c r="Y457" t="s">
        <v>116</v>
      </c>
      <c r="Z457">
        <v>1</v>
      </c>
      <c r="AA457">
        <v>4</v>
      </c>
      <c r="AB457" t="s">
        <v>11</v>
      </c>
      <c r="AC457" t="s">
        <v>12</v>
      </c>
      <c r="AD457" t="s">
        <v>20</v>
      </c>
      <c r="AE457" t="s">
        <v>14</v>
      </c>
      <c r="AF457" s="1">
        <v>13060</v>
      </c>
      <c r="AG457">
        <f t="shared" ca="1" si="23"/>
        <v>90</v>
      </c>
    </row>
    <row r="458" spans="1:33" x14ac:dyDescent="0.2">
      <c r="A458" s="1">
        <v>46028</v>
      </c>
      <c r="B458" t="str">
        <f t="shared" si="21"/>
        <v>mardi</v>
      </c>
      <c r="C458" t="str">
        <f t="shared" si="22"/>
        <v>Jour</v>
      </c>
      <c r="D458">
        <v>1417499</v>
      </c>
      <c r="E458">
        <v>2684842</v>
      </c>
      <c r="F458" t="s">
        <v>25</v>
      </c>
      <c r="G458" t="s">
        <v>25</v>
      </c>
      <c r="H458" t="s">
        <v>197</v>
      </c>
      <c r="I458" t="s">
        <v>55</v>
      </c>
      <c r="J458" t="s">
        <v>4</v>
      </c>
      <c r="K458">
        <v>60705</v>
      </c>
      <c r="L458" t="s">
        <v>5</v>
      </c>
      <c r="M458" t="s">
        <v>6</v>
      </c>
      <c r="N458" s="2">
        <v>0.75138888888888888</v>
      </c>
      <c r="O458" s="2">
        <v>0.75486111111111109</v>
      </c>
      <c r="P458" s="2">
        <v>0.7631944444444444</v>
      </c>
      <c r="Q458" s="2">
        <v>0.76944444444444449</v>
      </c>
      <c r="R458" s="2">
        <v>0.7729166666666667</v>
      </c>
      <c r="S458" s="2">
        <v>0.79166666666666663</v>
      </c>
      <c r="T458" t="s">
        <v>24</v>
      </c>
      <c r="U458" t="s">
        <v>251</v>
      </c>
      <c r="V458" t="s">
        <v>8</v>
      </c>
      <c r="X458" t="s">
        <v>190</v>
      </c>
      <c r="Y458" t="s">
        <v>191</v>
      </c>
      <c r="Z458">
        <v>2</v>
      </c>
      <c r="AA458">
        <v>3</v>
      </c>
      <c r="AB458" t="s">
        <v>11</v>
      </c>
      <c r="AC458" t="s">
        <v>12</v>
      </c>
      <c r="AD458" t="s">
        <v>20</v>
      </c>
      <c r="AE458" t="s">
        <v>29</v>
      </c>
      <c r="AF458" s="1">
        <v>29035</v>
      </c>
      <c r="AG458">
        <f t="shared" ca="1" si="23"/>
        <v>46</v>
      </c>
    </row>
    <row r="459" spans="1:33" x14ac:dyDescent="0.2">
      <c r="A459" s="1">
        <v>46028</v>
      </c>
      <c r="B459" t="str">
        <f t="shared" si="21"/>
        <v>mardi</v>
      </c>
      <c r="C459" t="str">
        <f t="shared" si="22"/>
        <v>Nuit</v>
      </c>
      <c r="D459">
        <v>1500340</v>
      </c>
      <c r="E459">
        <v>2584657</v>
      </c>
      <c r="F459" t="s">
        <v>0</v>
      </c>
      <c r="G459" t="s">
        <v>1</v>
      </c>
      <c r="H459" t="s">
        <v>239</v>
      </c>
      <c r="I459" t="s">
        <v>99</v>
      </c>
      <c r="J459" t="s">
        <v>4</v>
      </c>
      <c r="K459">
        <v>60709</v>
      </c>
      <c r="L459" t="s">
        <v>5</v>
      </c>
      <c r="M459" t="s">
        <v>6</v>
      </c>
      <c r="N459" s="2">
        <v>0.20972222222222223</v>
      </c>
      <c r="O459" s="2">
        <v>0.21111111111111111</v>
      </c>
      <c r="P459" s="2">
        <v>0.21597222222222223</v>
      </c>
      <c r="Q459" s="2">
        <v>0.24166666666666667</v>
      </c>
      <c r="R459" s="2">
        <v>0.24722222222222223</v>
      </c>
      <c r="S459" s="2">
        <v>0.27083333333333331</v>
      </c>
      <c r="T459" t="s">
        <v>7</v>
      </c>
      <c r="U459" t="s">
        <v>251</v>
      </c>
      <c r="V459" t="s">
        <v>8</v>
      </c>
      <c r="X459" t="s">
        <v>190</v>
      </c>
      <c r="Y459" t="s">
        <v>191</v>
      </c>
      <c r="Z459">
        <v>2</v>
      </c>
      <c r="AA459">
        <v>3</v>
      </c>
      <c r="AB459" t="s">
        <v>11</v>
      </c>
      <c r="AC459" t="s">
        <v>12</v>
      </c>
      <c r="AD459" t="s">
        <v>20</v>
      </c>
      <c r="AE459" t="s">
        <v>14</v>
      </c>
      <c r="AF459" s="1">
        <v>16894</v>
      </c>
      <c r="AG459">
        <f t="shared" ca="1" si="23"/>
        <v>79</v>
      </c>
    </row>
    <row r="460" spans="1:33" x14ac:dyDescent="0.2">
      <c r="A460" s="1">
        <v>46028</v>
      </c>
      <c r="B460" t="str">
        <f t="shared" si="21"/>
        <v>mardi</v>
      </c>
      <c r="C460" t="str">
        <f t="shared" si="22"/>
        <v>Jour</v>
      </c>
      <c r="D460">
        <v>1500345</v>
      </c>
      <c r="E460">
        <v>2584823</v>
      </c>
      <c r="F460" t="s">
        <v>15</v>
      </c>
      <c r="G460" t="s">
        <v>92</v>
      </c>
      <c r="H460" t="s">
        <v>78</v>
      </c>
      <c r="I460" t="s">
        <v>49</v>
      </c>
      <c r="J460" t="s">
        <v>4</v>
      </c>
      <c r="K460">
        <v>60709</v>
      </c>
      <c r="L460" t="s">
        <v>5</v>
      </c>
      <c r="M460" t="s">
        <v>6</v>
      </c>
      <c r="N460" s="2">
        <v>0.69791666666666663</v>
      </c>
      <c r="O460" s="2">
        <v>0.7</v>
      </c>
      <c r="P460" s="2">
        <v>0.70347222222222228</v>
      </c>
      <c r="Q460" s="2">
        <v>0.71666666666666667</v>
      </c>
      <c r="R460" s="2">
        <v>0.7319444444444444</v>
      </c>
      <c r="S460" s="2">
        <v>0.75</v>
      </c>
      <c r="T460" t="s">
        <v>125</v>
      </c>
      <c r="U460" t="s">
        <v>32</v>
      </c>
      <c r="V460" t="s">
        <v>8</v>
      </c>
      <c r="X460" t="s">
        <v>33</v>
      </c>
      <c r="Y460" t="s">
        <v>221</v>
      </c>
      <c r="Z460">
        <v>3</v>
      </c>
      <c r="AA460">
        <v>2</v>
      </c>
      <c r="AB460" t="s">
        <v>11</v>
      </c>
      <c r="AC460" t="s">
        <v>12</v>
      </c>
      <c r="AD460" t="s">
        <v>20</v>
      </c>
      <c r="AE460" t="s">
        <v>29</v>
      </c>
      <c r="AF460" s="1">
        <v>23048</v>
      </c>
      <c r="AG460">
        <f t="shared" ca="1" si="23"/>
        <v>63</v>
      </c>
    </row>
    <row r="461" spans="1:33" x14ac:dyDescent="0.2">
      <c r="A461" s="1">
        <v>46028</v>
      </c>
      <c r="B461" t="str">
        <f t="shared" si="21"/>
        <v>mardi</v>
      </c>
      <c r="C461" t="str">
        <f t="shared" si="22"/>
        <v>Jour</v>
      </c>
      <c r="D461">
        <v>1500343</v>
      </c>
      <c r="E461">
        <v>2584759</v>
      </c>
      <c r="F461" t="s">
        <v>15</v>
      </c>
      <c r="G461" t="s">
        <v>16</v>
      </c>
      <c r="H461" t="s">
        <v>78</v>
      </c>
      <c r="I461" t="s">
        <v>49</v>
      </c>
      <c r="J461" t="s">
        <v>4</v>
      </c>
      <c r="K461">
        <v>60709</v>
      </c>
      <c r="L461" t="s">
        <v>5</v>
      </c>
      <c r="M461" t="s">
        <v>6</v>
      </c>
      <c r="N461" s="2">
        <v>0.52013888888888893</v>
      </c>
      <c r="O461" s="2">
        <v>0.52222222222222225</v>
      </c>
      <c r="P461" s="2">
        <v>0.52916666666666667</v>
      </c>
      <c r="Q461" s="2">
        <v>0.55277777777777781</v>
      </c>
      <c r="R461" s="2">
        <v>0.55486111111111114</v>
      </c>
      <c r="S461" s="2">
        <v>0.57291666666666663</v>
      </c>
      <c r="T461" t="s">
        <v>7</v>
      </c>
      <c r="U461" t="s">
        <v>32</v>
      </c>
      <c r="V461" t="s">
        <v>8</v>
      </c>
      <c r="X461" t="s">
        <v>33</v>
      </c>
      <c r="Y461" t="s">
        <v>259</v>
      </c>
      <c r="Z461">
        <v>3</v>
      </c>
      <c r="AA461">
        <v>3</v>
      </c>
      <c r="AB461" t="s">
        <v>11</v>
      </c>
      <c r="AC461" t="s">
        <v>12</v>
      </c>
      <c r="AD461" t="s">
        <v>20</v>
      </c>
      <c r="AE461" t="s">
        <v>14</v>
      </c>
      <c r="AF461" s="1">
        <v>16643</v>
      </c>
      <c r="AG461">
        <f t="shared" ca="1" si="23"/>
        <v>80</v>
      </c>
    </row>
    <row r="462" spans="1:33" x14ac:dyDescent="0.2">
      <c r="A462" s="1">
        <v>46028</v>
      </c>
      <c r="B462" t="str">
        <f t="shared" si="21"/>
        <v>mardi</v>
      </c>
      <c r="C462" t="str">
        <f t="shared" si="22"/>
        <v>Jour</v>
      </c>
      <c r="D462">
        <v>1500464</v>
      </c>
      <c r="E462">
        <v>2584755</v>
      </c>
      <c r="F462" t="s">
        <v>21</v>
      </c>
      <c r="G462" t="s">
        <v>1</v>
      </c>
      <c r="H462" t="s">
        <v>41</v>
      </c>
      <c r="I462" t="s">
        <v>23</v>
      </c>
      <c r="J462" t="s">
        <v>4</v>
      </c>
      <c r="K462">
        <v>60706</v>
      </c>
      <c r="L462" t="s">
        <v>5</v>
      </c>
      <c r="M462" t="s">
        <v>6</v>
      </c>
      <c r="N462" s="2">
        <v>0.57499999999999996</v>
      </c>
      <c r="O462" s="2">
        <v>0.5756944444444444</v>
      </c>
      <c r="P462" s="2">
        <v>0.57986111111111116</v>
      </c>
      <c r="Q462" s="2">
        <v>0.59236111111111112</v>
      </c>
      <c r="R462" s="2">
        <v>0.60138888888888886</v>
      </c>
      <c r="S462" s="2">
        <v>0.61805555555555558</v>
      </c>
      <c r="T462" t="s">
        <v>52</v>
      </c>
      <c r="U462" t="s">
        <v>251</v>
      </c>
      <c r="V462" t="s">
        <v>8</v>
      </c>
      <c r="X462" t="s">
        <v>9</v>
      </c>
      <c r="Y462" t="s">
        <v>10</v>
      </c>
      <c r="Z462">
        <v>3</v>
      </c>
      <c r="AA462">
        <v>2</v>
      </c>
      <c r="AB462" t="s">
        <v>93</v>
      </c>
      <c r="AC462" t="s">
        <v>12</v>
      </c>
      <c r="AD462" t="s">
        <v>20</v>
      </c>
      <c r="AE462" t="s">
        <v>14</v>
      </c>
      <c r="AF462" s="1">
        <v>24589</v>
      </c>
      <c r="AG462">
        <f t="shared" ca="1" si="23"/>
        <v>58</v>
      </c>
    </row>
    <row r="463" spans="1:33" x14ac:dyDescent="0.2">
      <c r="A463" s="1">
        <v>46028</v>
      </c>
      <c r="B463" t="str">
        <f t="shared" si="21"/>
        <v>mardi</v>
      </c>
      <c r="C463" t="str">
        <f t="shared" si="22"/>
        <v>Jour</v>
      </c>
      <c r="D463">
        <v>1500465</v>
      </c>
      <c r="E463">
        <v>2584819</v>
      </c>
      <c r="F463" t="s">
        <v>21</v>
      </c>
      <c r="G463" t="s">
        <v>1</v>
      </c>
      <c r="H463" t="s">
        <v>23</v>
      </c>
      <c r="I463" t="s">
        <v>41</v>
      </c>
      <c r="J463" t="s">
        <v>256</v>
      </c>
      <c r="K463">
        <v>60706</v>
      </c>
      <c r="L463" t="s">
        <v>5</v>
      </c>
      <c r="M463" t="s">
        <v>6</v>
      </c>
      <c r="N463" s="2">
        <v>0.68263888888888891</v>
      </c>
      <c r="O463" s="2">
        <v>0.68402777777777779</v>
      </c>
      <c r="P463" s="2">
        <v>0.69097222222222221</v>
      </c>
      <c r="Q463" s="2">
        <v>0.70277777777777772</v>
      </c>
      <c r="R463" s="2">
        <v>0.71319444444444446</v>
      </c>
      <c r="S463" s="2">
        <v>0.72569444444444442</v>
      </c>
      <c r="T463" t="s">
        <v>43</v>
      </c>
      <c r="U463" t="s">
        <v>18</v>
      </c>
      <c r="V463" t="s">
        <v>24</v>
      </c>
      <c r="X463" t="s">
        <v>192</v>
      </c>
      <c r="Y463" t="s">
        <v>193</v>
      </c>
      <c r="Z463">
        <v>2</v>
      </c>
      <c r="AA463">
        <v>2</v>
      </c>
      <c r="AB463" t="s">
        <v>11</v>
      </c>
      <c r="AC463" t="s">
        <v>28</v>
      </c>
      <c r="AD463" t="s">
        <v>20</v>
      </c>
      <c r="AE463" t="s">
        <v>29</v>
      </c>
      <c r="AF463" s="1">
        <v>18239</v>
      </c>
      <c r="AG463">
        <f t="shared" ca="1" si="23"/>
        <v>76</v>
      </c>
    </row>
    <row r="464" spans="1:33" x14ac:dyDescent="0.2">
      <c r="A464" s="1">
        <v>46028</v>
      </c>
      <c r="B464" t="str">
        <f t="shared" si="21"/>
        <v>mardi</v>
      </c>
      <c r="C464" t="str">
        <f t="shared" si="22"/>
        <v>Jour</v>
      </c>
      <c r="D464">
        <v>1500462</v>
      </c>
      <c r="E464">
        <v>2584708</v>
      </c>
      <c r="F464" t="s">
        <v>21</v>
      </c>
      <c r="G464" t="s">
        <v>1</v>
      </c>
      <c r="H464" t="s">
        <v>41</v>
      </c>
      <c r="I464" t="s">
        <v>23</v>
      </c>
      <c r="J464" t="s">
        <v>256</v>
      </c>
      <c r="K464">
        <v>60706</v>
      </c>
      <c r="L464" t="s">
        <v>61</v>
      </c>
      <c r="M464" t="s">
        <v>195</v>
      </c>
      <c r="N464" s="2">
        <v>0.41805555555555557</v>
      </c>
      <c r="O464" s="2">
        <v>0.41875000000000001</v>
      </c>
      <c r="P464" s="2">
        <v>0.42083333333333334</v>
      </c>
      <c r="Q464" s="2">
        <v>0.43680555555555556</v>
      </c>
      <c r="R464" s="2">
        <v>0.44097222222222221</v>
      </c>
      <c r="S464" s="2">
        <v>0.45833333333333331</v>
      </c>
      <c r="T464" t="s">
        <v>87</v>
      </c>
      <c r="U464" t="s">
        <v>251</v>
      </c>
      <c r="V464" t="s">
        <v>8</v>
      </c>
      <c r="X464" t="s">
        <v>190</v>
      </c>
      <c r="Y464" t="s">
        <v>191</v>
      </c>
      <c r="Z464">
        <v>1</v>
      </c>
      <c r="AA464">
        <v>4</v>
      </c>
      <c r="AB464" t="s">
        <v>11</v>
      </c>
      <c r="AC464" t="s">
        <v>12</v>
      </c>
      <c r="AD464" t="s">
        <v>219</v>
      </c>
      <c r="AE464" t="s">
        <v>14</v>
      </c>
      <c r="AF464" s="1">
        <v>41375</v>
      </c>
      <c r="AG464">
        <f t="shared" ca="1" si="23"/>
        <v>12</v>
      </c>
    </row>
    <row r="465" spans="1:33" x14ac:dyDescent="0.2">
      <c r="A465" s="1">
        <v>46028</v>
      </c>
      <c r="B465" t="str">
        <f t="shared" si="21"/>
        <v>mardi</v>
      </c>
      <c r="C465" t="str">
        <f t="shared" si="22"/>
        <v>Jour</v>
      </c>
      <c r="D465">
        <v>1500341</v>
      </c>
      <c r="E465">
        <v>2584662</v>
      </c>
      <c r="F465" t="s">
        <v>15</v>
      </c>
      <c r="G465" t="s">
        <v>92</v>
      </c>
      <c r="H465" t="s">
        <v>78</v>
      </c>
      <c r="I465" t="s">
        <v>49</v>
      </c>
      <c r="J465" t="s">
        <v>4</v>
      </c>
      <c r="K465">
        <v>60709</v>
      </c>
      <c r="L465" t="s">
        <v>5</v>
      </c>
      <c r="M465" t="s">
        <v>6</v>
      </c>
      <c r="N465" s="2">
        <v>0.41249999999999998</v>
      </c>
      <c r="O465" s="2">
        <v>0.28819444444444442</v>
      </c>
      <c r="P465" s="2">
        <v>0.29236111111111113</v>
      </c>
      <c r="Q465" s="2">
        <v>0.30763888888888891</v>
      </c>
      <c r="R465" s="2">
        <v>0.31736111111111109</v>
      </c>
      <c r="S465" s="2">
        <v>0.34027777777777779</v>
      </c>
      <c r="T465" t="s">
        <v>8</v>
      </c>
      <c r="U465" t="s">
        <v>32</v>
      </c>
      <c r="V465" t="s">
        <v>8</v>
      </c>
      <c r="X465" t="s">
        <v>214</v>
      </c>
      <c r="Y465" t="s">
        <v>215</v>
      </c>
      <c r="Z465">
        <v>1</v>
      </c>
      <c r="AA465">
        <v>4</v>
      </c>
      <c r="AB465" t="s">
        <v>11</v>
      </c>
      <c r="AC465" t="s">
        <v>12</v>
      </c>
      <c r="AD465" t="s">
        <v>20</v>
      </c>
      <c r="AE465" t="s">
        <v>14</v>
      </c>
      <c r="AF465" s="1">
        <v>11120</v>
      </c>
      <c r="AG465">
        <f t="shared" ca="1" si="23"/>
        <v>95</v>
      </c>
    </row>
    <row r="466" spans="1:33" x14ac:dyDescent="0.2">
      <c r="A466" s="1">
        <v>46028</v>
      </c>
      <c r="B466" t="str">
        <f t="shared" si="21"/>
        <v>mardi</v>
      </c>
      <c r="C466" t="str">
        <f t="shared" si="22"/>
        <v>Jour</v>
      </c>
      <c r="D466">
        <v>1500344</v>
      </c>
      <c r="E466">
        <v>2584789</v>
      </c>
      <c r="F466" t="s">
        <v>15</v>
      </c>
      <c r="G466" t="s">
        <v>1</v>
      </c>
      <c r="H466" t="s">
        <v>49</v>
      </c>
      <c r="I466" t="s">
        <v>78</v>
      </c>
      <c r="J466" t="s">
        <v>4</v>
      </c>
      <c r="K466">
        <v>60708</v>
      </c>
      <c r="L466" t="s">
        <v>61</v>
      </c>
      <c r="M466" t="s">
        <v>195</v>
      </c>
      <c r="N466" s="2">
        <v>0.59513888888888888</v>
      </c>
      <c r="O466" s="2">
        <v>0.59722222222222221</v>
      </c>
      <c r="P466" s="2">
        <v>0.60069444444444442</v>
      </c>
      <c r="Q466" s="2">
        <v>0.63749999999999996</v>
      </c>
      <c r="R466" s="2">
        <v>0.64583333333333337</v>
      </c>
      <c r="S466" s="2">
        <v>0.66805555555555551</v>
      </c>
      <c r="T466" t="s">
        <v>64</v>
      </c>
      <c r="U466" t="s">
        <v>32</v>
      </c>
      <c r="V466" t="s">
        <v>8</v>
      </c>
      <c r="X466" t="s">
        <v>200</v>
      </c>
      <c r="Y466" t="s">
        <v>220</v>
      </c>
      <c r="Z466">
        <v>1</v>
      </c>
      <c r="AA466">
        <v>4</v>
      </c>
      <c r="AB466" t="s">
        <v>11</v>
      </c>
      <c r="AC466" t="s">
        <v>12</v>
      </c>
      <c r="AD466" t="s">
        <v>20</v>
      </c>
      <c r="AF466" s="1">
        <v>33960</v>
      </c>
      <c r="AG466">
        <f t="shared" ca="1" si="23"/>
        <v>33</v>
      </c>
    </row>
    <row r="467" spans="1:33" x14ac:dyDescent="0.2">
      <c r="A467" s="1">
        <v>46028</v>
      </c>
      <c r="B467" t="str">
        <f t="shared" si="21"/>
        <v>mardi</v>
      </c>
      <c r="C467" t="str">
        <f t="shared" si="22"/>
        <v>Jour</v>
      </c>
      <c r="D467">
        <v>1500463</v>
      </c>
      <c r="E467">
        <v>2584755</v>
      </c>
      <c r="F467" t="s">
        <v>15</v>
      </c>
      <c r="G467" t="s">
        <v>1</v>
      </c>
      <c r="H467" t="s">
        <v>23</v>
      </c>
      <c r="I467" t="s">
        <v>41</v>
      </c>
      <c r="J467" t="s">
        <v>256</v>
      </c>
      <c r="K467">
        <v>60706</v>
      </c>
      <c r="L467" t="s">
        <v>5</v>
      </c>
      <c r="M467" t="s">
        <v>6</v>
      </c>
      <c r="N467" s="2">
        <v>0.50694444444444442</v>
      </c>
      <c r="O467" s="2">
        <v>0.50902777777777775</v>
      </c>
      <c r="P467" s="2">
        <v>0.51180555555555551</v>
      </c>
      <c r="Q467" s="2">
        <v>0.5395833333333333</v>
      </c>
      <c r="R467" s="2">
        <v>0.55000000000000004</v>
      </c>
      <c r="S467" s="2">
        <v>0.57499999999999996</v>
      </c>
      <c r="T467" t="s">
        <v>7</v>
      </c>
      <c r="U467" t="s">
        <v>251</v>
      </c>
      <c r="V467" t="s">
        <v>8</v>
      </c>
      <c r="X467" t="s">
        <v>33</v>
      </c>
      <c r="Y467" t="s">
        <v>207</v>
      </c>
      <c r="Z467">
        <v>3</v>
      </c>
      <c r="AA467">
        <v>3</v>
      </c>
      <c r="AB467" t="s">
        <v>11</v>
      </c>
      <c r="AC467" t="s">
        <v>12</v>
      </c>
      <c r="AD467" t="s">
        <v>20</v>
      </c>
      <c r="AE467" t="s">
        <v>29</v>
      </c>
      <c r="AF467" s="1">
        <v>20056</v>
      </c>
      <c r="AG467">
        <f t="shared" ca="1" si="23"/>
        <v>71</v>
      </c>
    </row>
    <row r="468" spans="1:33" x14ac:dyDescent="0.2">
      <c r="A468" s="1">
        <v>46028</v>
      </c>
      <c r="B468" t="str">
        <f t="shared" si="21"/>
        <v>mardi</v>
      </c>
      <c r="C468" t="str">
        <f t="shared" si="22"/>
        <v>Jour</v>
      </c>
      <c r="D468">
        <v>1417497</v>
      </c>
      <c r="E468">
        <v>2584712</v>
      </c>
      <c r="F468" t="s">
        <v>25</v>
      </c>
      <c r="G468" t="s">
        <v>25</v>
      </c>
      <c r="H468" t="s">
        <v>197</v>
      </c>
      <c r="I468" t="s">
        <v>55</v>
      </c>
      <c r="J468" t="s">
        <v>4</v>
      </c>
      <c r="K468">
        <v>60705</v>
      </c>
      <c r="L468" t="s">
        <v>5</v>
      </c>
      <c r="M468" t="s">
        <v>6</v>
      </c>
      <c r="N468" s="2">
        <v>0.42499999999999999</v>
      </c>
      <c r="O468" s="2">
        <v>0.43263888888888891</v>
      </c>
      <c r="P468" s="2">
        <v>0.45833333333333331</v>
      </c>
      <c r="Q468" s="2">
        <v>0.45902777777777776</v>
      </c>
      <c r="R468" s="2">
        <v>0.46666666666666667</v>
      </c>
      <c r="S468" s="2">
        <v>0.47916666666666669</v>
      </c>
      <c r="T468" t="s">
        <v>43</v>
      </c>
      <c r="U468" t="s">
        <v>251</v>
      </c>
      <c r="V468" t="s">
        <v>8</v>
      </c>
      <c r="X468" t="s">
        <v>74</v>
      </c>
      <c r="Y468" t="s">
        <v>257</v>
      </c>
      <c r="Z468">
        <v>3</v>
      </c>
      <c r="AA468">
        <v>2</v>
      </c>
      <c r="AB468" t="s">
        <v>11</v>
      </c>
      <c r="AC468" t="s">
        <v>12</v>
      </c>
      <c r="AD468" t="s">
        <v>20</v>
      </c>
      <c r="AE468" t="s">
        <v>29</v>
      </c>
      <c r="AG468">
        <f t="shared" ca="1" si="23"/>
        <v>126</v>
      </c>
    </row>
    <row r="469" spans="1:33" x14ac:dyDescent="0.2">
      <c r="A469" s="1">
        <v>46028</v>
      </c>
      <c r="B469" t="str">
        <f t="shared" si="21"/>
        <v>mardi</v>
      </c>
      <c r="C469" t="str">
        <f t="shared" si="22"/>
        <v>Jour</v>
      </c>
      <c r="D469">
        <v>1492877</v>
      </c>
      <c r="E469">
        <v>2584774</v>
      </c>
      <c r="F469" t="s">
        <v>56</v>
      </c>
      <c r="G469" t="s">
        <v>16</v>
      </c>
      <c r="H469" t="s">
        <v>37</v>
      </c>
      <c r="I469" t="s">
        <v>57</v>
      </c>
      <c r="J469" t="s">
        <v>4</v>
      </c>
      <c r="K469">
        <v>60707</v>
      </c>
      <c r="L469" t="s">
        <v>5</v>
      </c>
      <c r="M469" t="s">
        <v>6</v>
      </c>
      <c r="N469" s="2">
        <v>0.55763888888888891</v>
      </c>
      <c r="O469" s="2">
        <v>0.55972222222222223</v>
      </c>
      <c r="P469" s="2">
        <v>0.56944444444444442</v>
      </c>
      <c r="S469" s="2">
        <v>0.58819444444444446</v>
      </c>
      <c r="T469" t="s">
        <v>7</v>
      </c>
      <c r="U469" t="s">
        <v>18</v>
      </c>
      <c r="V469" t="s">
        <v>47</v>
      </c>
      <c r="W469" t="s">
        <v>199</v>
      </c>
      <c r="X469" t="s">
        <v>209</v>
      </c>
      <c r="Y469" t="s">
        <v>80</v>
      </c>
      <c r="Z469">
        <v>3</v>
      </c>
      <c r="AA469">
        <v>2</v>
      </c>
      <c r="AB469" t="s">
        <v>93</v>
      </c>
      <c r="AC469" t="s">
        <v>12</v>
      </c>
      <c r="AD469" t="s">
        <v>20</v>
      </c>
      <c r="AE469" t="s">
        <v>14</v>
      </c>
      <c r="AF469" s="1">
        <v>21031</v>
      </c>
      <c r="AG469">
        <f t="shared" ca="1" si="23"/>
        <v>68</v>
      </c>
    </row>
    <row r="470" spans="1:33" x14ac:dyDescent="0.2">
      <c r="A470" s="1">
        <v>46028</v>
      </c>
      <c r="B470" t="str">
        <f t="shared" si="21"/>
        <v>mardi</v>
      </c>
      <c r="C470" t="str">
        <f t="shared" si="22"/>
        <v>Jour</v>
      </c>
      <c r="D470">
        <v>1492875</v>
      </c>
      <c r="E470">
        <v>2584674</v>
      </c>
      <c r="F470" t="s">
        <v>56</v>
      </c>
      <c r="G470" t="s">
        <v>1</v>
      </c>
      <c r="H470" t="s">
        <v>37</v>
      </c>
      <c r="I470" t="s">
        <v>57</v>
      </c>
      <c r="J470" t="s">
        <v>4</v>
      </c>
      <c r="K470">
        <v>60707</v>
      </c>
      <c r="L470" t="s">
        <v>5</v>
      </c>
      <c r="M470" t="s">
        <v>6</v>
      </c>
      <c r="N470" s="2">
        <v>0.33611111111111114</v>
      </c>
      <c r="O470" s="2">
        <v>0.33750000000000002</v>
      </c>
      <c r="P470" s="2">
        <v>0.34027777777777779</v>
      </c>
      <c r="Q470" s="2">
        <v>0.36458333333333331</v>
      </c>
      <c r="R470" s="2">
        <v>0.37013888888888891</v>
      </c>
      <c r="S470" s="2">
        <v>0.3972222222222222</v>
      </c>
      <c r="T470" t="s">
        <v>38</v>
      </c>
      <c r="U470" t="s">
        <v>32</v>
      </c>
      <c r="V470" t="s">
        <v>8</v>
      </c>
      <c r="X470" t="s">
        <v>19</v>
      </c>
      <c r="Y470" t="s">
        <v>220</v>
      </c>
      <c r="Z470">
        <v>2</v>
      </c>
      <c r="AA470">
        <v>4</v>
      </c>
      <c r="AB470" t="s">
        <v>11</v>
      </c>
      <c r="AC470" t="s">
        <v>12</v>
      </c>
      <c r="AD470" t="s">
        <v>20</v>
      </c>
      <c r="AE470" t="s">
        <v>29</v>
      </c>
      <c r="AF470" s="1">
        <v>38310</v>
      </c>
      <c r="AG470">
        <f t="shared" ca="1" si="23"/>
        <v>21</v>
      </c>
    </row>
    <row r="471" spans="1:33" x14ac:dyDescent="0.2">
      <c r="A471" s="1">
        <v>46028</v>
      </c>
      <c r="B471" t="str">
        <f t="shared" si="21"/>
        <v>mardi</v>
      </c>
      <c r="C471" t="str">
        <f t="shared" si="22"/>
        <v>Jour</v>
      </c>
      <c r="D471">
        <v>1500342</v>
      </c>
      <c r="E471">
        <v>2584700</v>
      </c>
      <c r="F471" t="s">
        <v>15</v>
      </c>
      <c r="G471" t="s">
        <v>1</v>
      </c>
      <c r="H471" t="s">
        <v>49</v>
      </c>
      <c r="I471" t="s">
        <v>78</v>
      </c>
      <c r="J471" t="s">
        <v>4</v>
      </c>
      <c r="K471">
        <v>60709</v>
      </c>
      <c r="L471" t="s">
        <v>61</v>
      </c>
      <c r="M471" t="s">
        <v>195</v>
      </c>
      <c r="N471" s="2">
        <v>0.40416666666666667</v>
      </c>
      <c r="O471" s="2">
        <v>0.40555555555555556</v>
      </c>
      <c r="P471" s="2">
        <v>0.40902777777777777</v>
      </c>
      <c r="Q471" s="2">
        <v>0.43333333333333335</v>
      </c>
      <c r="R471" s="2">
        <v>0.4465277777777778</v>
      </c>
      <c r="S471" s="2">
        <v>0.46527777777777779</v>
      </c>
      <c r="T471" t="s">
        <v>8</v>
      </c>
      <c r="U471" t="s">
        <v>32</v>
      </c>
      <c r="V471" t="s">
        <v>8</v>
      </c>
      <c r="X471" t="s">
        <v>190</v>
      </c>
      <c r="Y471" t="s">
        <v>191</v>
      </c>
      <c r="Z471">
        <v>2</v>
      </c>
      <c r="AA471">
        <v>3</v>
      </c>
      <c r="AB471" t="s">
        <v>11</v>
      </c>
      <c r="AC471" t="s">
        <v>12</v>
      </c>
      <c r="AD471" t="s">
        <v>212</v>
      </c>
      <c r="AE471" t="s">
        <v>29</v>
      </c>
      <c r="AF471" s="1">
        <v>20480</v>
      </c>
      <c r="AG471">
        <f t="shared" ca="1" si="23"/>
        <v>70</v>
      </c>
    </row>
    <row r="472" spans="1:33" x14ac:dyDescent="0.2">
      <c r="A472" s="1">
        <v>46023</v>
      </c>
      <c r="B472" t="str">
        <f t="shared" si="21"/>
        <v>jeudi</v>
      </c>
      <c r="C472" t="str">
        <f t="shared" si="22"/>
        <v>Jour</v>
      </c>
      <c r="D472">
        <v>1494156</v>
      </c>
      <c r="E472">
        <v>2583404</v>
      </c>
      <c r="F472" t="s">
        <v>21</v>
      </c>
      <c r="G472" t="s">
        <v>1</v>
      </c>
      <c r="H472" t="s">
        <v>49</v>
      </c>
      <c r="I472" t="s">
        <v>213</v>
      </c>
      <c r="J472" t="s">
        <v>4</v>
      </c>
      <c r="K472">
        <v>60708</v>
      </c>
      <c r="L472" t="s">
        <v>5</v>
      </c>
      <c r="M472" t="s">
        <v>6</v>
      </c>
      <c r="N472" s="2">
        <v>0.44930555555555557</v>
      </c>
      <c r="O472" s="2">
        <v>0.4513888888888889</v>
      </c>
      <c r="P472" s="2">
        <v>0.45694444444444443</v>
      </c>
      <c r="Q472" s="2">
        <v>0.46597222222222223</v>
      </c>
      <c r="R472" s="2">
        <v>0.47361111111111109</v>
      </c>
      <c r="S472" s="2">
        <v>0.5</v>
      </c>
      <c r="T472" t="s">
        <v>7</v>
      </c>
      <c r="U472" t="s">
        <v>109</v>
      </c>
      <c r="V472" t="s">
        <v>8</v>
      </c>
      <c r="X472" t="s">
        <v>214</v>
      </c>
      <c r="Y472" t="s">
        <v>215</v>
      </c>
      <c r="Z472">
        <v>1</v>
      </c>
      <c r="AA472">
        <v>4</v>
      </c>
      <c r="AB472" t="s">
        <v>11</v>
      </c>
      <c r="AC472" t="s">
        <v>12</v>
      </c>
      <c r="AD472" t="s">
        <v>36</v>
      </c>
      <c r="AE472" t="s">
        <v>29</v>
      </c>
      <c r="AF472" s="1">
        <v>9793</v>
      </c>
      <c r="AG472">
        <f t="shared" ca="1" si="23"/>
        <v>99</v>
      </c>
    </row>
    <row r="473" spans="1:33" x14ac:dyDescent="0.2">
      <c r="A473" s="1">
        <v>46028</v>
      </c>
      <c r="B473" t="str">
        <f t="shared" si="21"/>
        <v>mardi</v>
      </c>
      <c r="C473" t="str">
        <f t="shared" si="22"/>
        <v>Jour</v>
      </c>
      <c r="D473">
        <v>1492876</v>
      </c>
      <c r="E473">
        <v>2584722</v>
      </c>
      <c r="F473" t="s">
        <v>56</v>
      </c>
      <c r="G473" t="s">
        <v>16</v>
      </c>
      <c r="H473" t="s">
        <v>57</v>
      </c>
      <c r="I473" t="s">
        <v>37</v>
      </c>
      <c r="J473" t="s">
        <v>4</v>
      </c>
      <c r="K473">
        <v>60707</v>
      </c>
      <c r="L473" t="s">
        <v>5</v>
      </c>
      <c r="M473" t="s">
        <v>6</v>
      </c>
      <c r="N473" s="2">
        <v>0.44930555555555557</v>
      </c>
      <c r="O473" s="2">
        <v>0.45347222222222222</v>
      </c>
      <c r="P473" s="2">
        <v>0.46111111111111114</v>
      </c>
      <c r="Q473" s="2">
        <v>0.47291666666666665</v>
      </c>
      <c r="R473" s="2">
        <v>0.4826388888888889</v>
      </c>
      <c r="S473" s="2">
        <v>0.5</v>
      </c>
      <c r="T473" t="s">
        <v>64</v>
      </c>
      <c r="U473" t="s">
        <v>65</v>
      </c>
      <c r="V473" t="s">
        <v>8</v>
      </c>
      <c r="X473" t="s">
        <v>33</v>
      </c>
      <c r="Y473" t="s">
        <v>150</v>
      </c>
      <c r="Z473">
        <v>2</v>
      </c>
      <c r="AA473">
        <v>4</v>
      </c>
      <c r="AB473" t="s">
        <v>11</v>
      </c>
      <c r="AC473" t="s">
        <v>12</v>
      </c>
      <c r="AD473" t="s">
        <v>20</v>
      </c>
      <c r="AE473" t="s">
        <v>29</v>
      </c>
      <c r="AF473" s="1">
        <v>34660</v>
      </c>
      <c r="AG473">
        <f t="shared" ca="1" si="23"/>
        <v>31</v>
      </c>
    </row>
    <row r="474" spans="1:33" x14ac:dyDescent="0.2">
      <c r="A474" s="1">
        <v>46028</v>
      </c>
      <c r="B474" t="str">
        <f t="shared" si="21"/>
        <v>mardi</v>
      </c>
      <c r="C474" t="str">
        <f t="shared" si="22"/>
        <v>Nuit</v>
      </c>
      <c r="D474">
        <v>1500460</v>
      </c>
      <c r="E474">
        <v>2584604</v>
      </c>
      <c r="F474" t="s">
        <v>45</v>
      </c>
      <c r="G474" t="s">
        <v>1</v>
      </c>
      <c r="H474" t="s">
        <v>202</v>
      </c>
      <c r="I474" t="s">
        <v>103</v>
      </c>
      <c r="J474" t="s">
        <v>4</v>
      </c>
      <c r="K474">
        <v>60706</v>
      </c>
      <c r="L474" t="s">
        <v>5</v>
      </c>
      <c r="M474" t="s">
        <v>6</v>
      </c>
      <c r="N474" s="2">
        <v>0.91388888888888886</v>
      </c>
      <c r="O474" s="2">
        <v>0.91527777777777775</v>
      </c>
      <c r="P474" s="2">
        <v>0.91527777777777775</v>
      </c>
      <c r="Q474" s="2">
        <v>0.95277777777777772</v>
      </c>
      <c r="R474" s="2">
        <v>0.9555555555555556</v>
      </c>
      <c r="S474" s="2">
        <v>0.97361111111111109</v>
      </c>
      <c r="T474" t="s">
        <v>7</v>
      </c>
      <c r="U474" t="s">
        <v>251</v>
      </c>
      <c r="V474" t="s">
        <v>8</v>
      </c>
      <c r="X474" t="s">
        <v>9</v>
      </c>
      <c r="Y474" t="s">
        <v>10</v>
      </c>
      <c r="Z474">
        <v>2</v>
      </c>
      <c r="AA474">
        <v>4</v>
      </c>
      <c r="AB474" t="s">
        <v>11</v>
      </c>
      <c r="AC474" t="s">
        <v>12</v>
      </c>
      <c r="AD474" t="s">
        <v>13</v>
      </c>
      <c r="AE474" t="s">
        <v>14</v>
      </c>
      <c r="AF474" s="1">
        <v>32621</v>
      </c>
      <c r="AG474">
        <f t="shared" ca="1" si="23"/>
        <v>36</v>
      </c>
    </row>
    <row r="475" spans="1:33" x14ac:dyDescent="0.2">
      <c r="A475" s="1">
        <v>46028</v>
      </c>
      <c r="B475" t="str">
        <f t="shared" si="21"/>
        <v>mardi</v>
      </c>
      <c r="C475" t="str">
        <f t="shared" si="22"/>
        <v>Nuit</v>
      </c>
      <c r="D475">
        <v>1500461</v>
      </c>
      <c r="E475">
        <v>2584655</v>
      </c>
      <c r="F475" t="s">
        <v>45</v>
      </c>
      <c r="G475" t="s">
        <v>16</v>
      </c>
      <c r="H475" t="s">
        <v>103</v>
      </c>
      <c r="I475" t="s">
        <v>202</v>
      </c>
      <c r="J475" t="s">
        <v>4</v>
      </c>
      <c r="K475">
        <v>60706</v>
      </c>
      <c r="L475" t="s">
        <v>5</v>
      </c>
      <c r="M475" t="s">
        <v>6</v>
      </c>
      <c r="N475" s="2">
        <v>0.17777777777777778</v>
      </c>
      <c r="O475" s="2">
        <v>0.17916666666666667</v>
      </c>
      <c r="P475" s="2">
        <v>0.18680555555555556</v>
      </c>
      <c r="Q475" s="2">
        <v>0.2048611111111111</v>
      </c>
      <c r="R475" s="2">
        <v>0.20972222222222223</v>
      </c>
      <c r="S475" s="2">
        <v>0.22916666666666666</v>
      </c>
      <c r="T475" t="s">
        <v>7</v>
      </c>
      <c r="U475" t="s">
        <v>251</v>
      </c>
      <c r="V475" t="s">
        <v>8</v>
      </c>
      <c r="X475" t="s">
        <v>33</v>
      </c>
      <c r="Y475" t="s">
        <v>40</v>
      </c>
      <c r="Z475">
        <v>3</v>
      </c>
      <c r="AA475">
        <v>3</v>
      </c>
      <c r="AB475" t="s">
        <v>11</v>
      </c>
      <c r="AC475" t="s">
        <v>12</v>
      </c>
      <c r="AD475" t="s">
        <v>20</v>
      </c>
      <c r="AE475" t="s">
        <v>29</v>
      </c>
      <c r="AF475" s="1">
        <v>12398</v>
      </c>
      <c r="AG475">
        <f t="shared" ca="1" si="23"/>
        <v>92</v>
      </c>
    </row>
    <row r="476" spans="1:33" x14ac:dyDescent="0.2">
      <c r="A476" s="1">
        <v>46027</v>
      </c>
      <c r="B476" t="str">
        <f t="shared" si="21"/>
        <v>lundi</v>
      </c>
      <c r="C476" t="str">
        <f t="shared" si="22"/>
        <v>Nuit</v>
      </c>
      <c r="D476">
        <v>1500339</v>
      </c>
      <c r="E476">
        <v>2584614</v>
      </c>
      <c r="F476" t="s">
        <v>0</v>
      </c>
      <c r="G476" t="s">
        <v>1</v>
      </c>
      <c r="H476" t="s">
        <v>99</v>
      </c>
      <c r="I476" t="s">
        <v>239</v>
      </c>
      <c r="J476" t="s">
        <v>4</v>
      </c>
      <c r="K476">
        <v>60709</v>
      </c>
      <c r="L476" t="s">
        <v>5</v>
      </c>
      <c r="M476" t="s">
        <v>6</v>
      </c>
      <c r="N476" s="2">
        <v>0.92777777777777781</v>
      </c>
      <c r="O476" s="2">
        <v>0.9291666666666667</v>
      </c>
      <c r="P476" s="2">
        <v>0.93819444444444444</v>
      </c>
      <c r="Q476" s="2">
        <v>0.54861111111111116</v>
      </c>
      <c r="R476" s="2">
        <v>0.96875</v>
      </c>
      <c r="S476" s="2">
        <v>0.99305555555555558</v>
      </c>
      <c r="T476" t="s">
        <v>7</v>
      </c>
      <c r="U476" t="s">
        <v>54</v>
      </c>
      <c r="V476" t="s">
        <v>24</v>
      </c>
      <c r="X476" t="s">
        <v>9</v>
      </c>
      <c r="Y476" t="s">
        <v>10</v>
      </c>
      <c r="Z476">
        <v>2</v>
      </c>
      <c r="AA476">
        <v>2</v>
      </c>
      <c r="AB476" t="s">
        <v>11</v>
      </c>
      <c r="AC476" t="s">
        <v>12</v>
      </c>
      <c r="AD476" t="s">
        <v>13</v>
      </c>
      <c r="AE476" t="s">
        <v>14</v>
      </c>
      <c r="AF476" s="1">
        <v>26273</v>
      </c>
      <c r="AG476">
        <f t="shared" ca="1" si="23"/>
        <v>54</v>
      </c>
    </row>
    <row r="477" spans="1:33" x14ac:dyDescent="0.2">
      <c r="A477" s="1">
        <v>46027</v>
      </c>
      <c r="B477" t="str">
        <f t="shared" si="21"/>
        <v>lundi</v>
      </c>
      <c r="C477" t="str">
        <f t="shared" si="22"/>
        <v>Jour</v>
      </c>
      <c r="D477">
        <v>1500338</v>
      </c>
      <c r="E477">
        <v>2584573</v>
      </c>
      <c r="F477" t="s">
        <v>0</v>
      </c>
      <c r="G477" t="s">
        <v>16</v>
      </c>
      <c r="H477" t="s">
        <v>239</v>
      </c>
      <c r="I477" t="s">
        <v>99</v>
      </c>
      <c r="J477" t="s">
        <v>4</v>
      </c>
      <c r="K477">
        <v>60709</v>
      </c>
      <c r="L477" t="s">
        <v>5</v>
      </c>
      <c r="M477" t="s">
        <v>6</v>
      </c>
      <c r="N477" s="2">
        <v>0.82916666666666672</v>
      </c>
      <c r="O477" s="2">
        <v>0.82986111111111116</v>
      </c>
      <c r="P477" s="2">
        <v>0.83263888888888893</v>
      </c>
      <c r="Q477" s="2">
        <v>0.85555555555555551</v>
      </c>
      <c r="R477" s="2">
        <v>0.86111111111111116</v>
      </c>
      <c r="S477" s="2">
        <v>0.875</v>
      </c>
      <c r="T477" t="s">
        <v>43</v>
      </c>
      <c r="U477" t="s">
        <v>32</v>
      </c>
      <c r="V477" t="s">
        <v>24</v>
      </c>
      <c r="X477" t="s">
        <v>192</v>
      </c>
      <c r="Y477" t="s">
        <v>198</v>
      </c>
      <c r="Z477">
        <v>3</v>
      </c>
      <c r="AA477">
        <v>2</v>
      </c>
      <c r="AB477" t="s">
        <v>11</v>
      </c>
      <c r="AC477" t="s">
        <v>28</v>
      </c>
      <c r="AD477" t="s">
        <v>44</v>
      </c>
      <c r="AE477" t="s">
        <v>29</v>
      </c>
      <c r="AF477" s="1">
        <v>36377</v>
      </c>
      <c r="AG477">
        <f t="shared" ca="1" si="23"/>
        <v>26</v>
      </c>
    </row>
    <row r="478" spans="1:33" x14ac:dyDescent="0.2">
      <c r="A478" s="1">
        <v>46027</v>
      </c>
      <c r="B478" t="str">
        <f t="shared" si="21"/>
        <v>lundi</v>
      </c>
      <c r="C478" t="str">
        <f t="shared" si="22"/>
        <v>Nuit</v>
      </c>
      <c r="D478">
        <v>1494180</v>
      </c>
      <c r="E478">
        <v>2584358</v>
      </c>
      <c r="F478" t="s">
        <v>0</v>
      </c>
      <c r="G478" t="s">
        <v>1</v>
      </c>
      <c r="H478" t="s">
        <v>99</v>
      </c>
      <c r="I478" t="s">
        <v>63</v>
      </c>
      <c r="J478" t="s">
        <v>4</v>
      </c>
      <c r="K478">
        <v>60708</v>
      </c>
      <c r="L478" t="s">
        <v>5</v>
      </c>
      <c r="M478" t="s">
        <v>6</v>
      </c>
      <c r="N478" s="2">
        <v>0.26597222222222222</v>
      </c>
      <c r="O478" s="2">
        <v>0.26597222222222222</v>
      </c>
      <c r="P478" s="2">
        <v>0.27013888888888887</v>
      </c>
      <c r="S478" s="2">
        <v>0.27152777777777776</v>
      </c>
      <c r="T478" t="s">
        <v>43</v>
      </c>
      <c r="U478" t="s">
        <v>32</v>
      </c>
      <c r="V478" t="s">
        <v>47</v>
      </c>
      <c r="W478" t="s">
        <v>248</v>
      </c>
      <c r="X478" t="s">
        <v>72</v>
      </c>
      <c r="Y478" t="s">
        <v>187</v>
      </c>
      <c r="Z478" t="s">
        <v>73</v>
      </c>
      <c r="AA478">
        <v>9</v>
      </c>
      <c r="AB478" t="s">
        <v>11</v>
      </c>
      <c r="AC478" t="s">
        <v>73</v>
      </c>
      <c r="AD478" t="s">
        <v>20</v>
      </c>
      <c r="AE478" t="s">
        <v>29</v>
      </c>
      <c r="AG478">
        <f t="shared" ca="1" si="23"/>
        <v>126</v>
      </c>
    </row>
    <row r="479" spans="1:33" x14ac:dyDescent="0.2">
      <c r="A479" s="1">
        <v>46027</v>
      </c>
      <c r="B479" t="str">
        <f t="shared" si="21"/>
        <v>lundi</v>
      </c>
      <c r="C479" t="str">
        <f t="shared" si="22"/>
        <v>Nuit</v>
      </c>
      <c r="D479">
        <v>1494178</v>
      </c>
      <c r="E479">
        <v>2584344</v>
      </c>
      <c r="F479" t="s">
        <v>0</v>
      </c>
      <c r="G479" t="s">
        <v>1</v>
      </c>
      <c r="H479" t="s">
        <v>99</v>
      </c>
      <c r="I479" t="s">
        <v>63</v>
      </c>
      <c r="J479" t="s">
        <v>4</v>
      </c>
      <c r="K479">
        <v>60708</v>
      </c>
      <c r="L479" t="s">
        <v>5</v>
      </c>
      <c r="M479" t="s">
        <v>6</v>
      </c>
      <c r="N479" s="2">
        <v>8.6805555555555552E-2</v>
      </c>
      <c r="O479" s="2">
        <v>8.8888888888888892E-2</v>
      </c>
      <c r="P479" s="2">
        <v>9.375E-2</v>
      </c>
      <c r="Q479" s="2">
        <v>0.10277777777777777</v>
      </c>
      <c r="R479" s="2">
        <v>0.11736111111111111</v>
      </c>
      <c r="S479" s="2">
        <v>0.12847222222222221</v>
      </c>
      <c r="T479" t="s">
        <v>7</v>
      </c>
      <c r="U479" t="s">
        <v>65</v>
      </c>
      <c r="V479" t="s">
        <v>8</v>
      </c>
      <c r="X479" t="s">
        <v>19</v>
      </c>
      <c r="Y479" t="s">
        <v>211</v>
      </c>
      <c r="Z479">
        <v>2</v>
      </c>
      <c r="AA479">
        <v>3</v>
      </c>
      <c r="AB479" t="s">
        <v>11</v>
      </c>
      <c r="AC479" t="s">
        <v>12</v>
      </c>
      <c r="AD479" t="s">
        <v>20</v>
      </c>
      <c r="AE479" t="s">
        <v>29</v>
      </c>
      <c r="AF479" s="1">
        <v>24290</v>
      </c>
      <c r="AG479">
        <f t="shared" ca="1" si="23"/>
        <v>59</v>
      </c>
    </row>
    <row r="480" spans="1:33" x14ac:dyDescent="0.2">
      <c r="A480" s="1">
        <v>46026</v>
      </c>
      <c r="B480" t="str">
        <f t="shared" si="21"/>
        <v>dimanche</v>
      </c>
      <c r="C480" t="str">
        <f t="shared" si="22"/>
        <v>Jour</v>
      </c>
      <c r="D480">
        <v>1500451</v>
      </c>
      <c r="E480">
        <v>2584257</v>
      </c>
      <c r="F480" t="s">
        <v>21</v>
      </c>
      <c r="G480" t="s">
        <v>16</v>
      </c>
      <c r="H480" t="s">
        <v>202</v>
      </c>
      <c r="I480" t="s">
        <v>98</v>
      </c>
      <c r="J480" t="s">
        <v>4</v>
      </c>
      <c r="K480">
        <v>60706</v>
      </c>
      <c r="L480" t="s">
        <v>5</v>
      </c>
      <c r="M480" t="s">
        <v>6</v>
      </c>
      <c r="N480" s="2">
        <v>0.73888888888888893</v>
      </c>
      <c r="O480" s="2">
        <v>0.74027777777777781</v>
      </c>
      <c r="P480" s="2">
        <v>0.74583333333333335</v>
      </c>
      <c r="Q480" s="2">
        <v>0.76041666666666663</v>
      </c>
      <c r="R480" s="2">
        <v>0.76388888888888884</v>
      </c>
      <c r="S480" s="2">
        <v>0.77777777777777779</v>
      </c>
      <c r="T480" t="s">
        <v>7</v>
      </c>
      <c r="U480" t="s">
        <v>251</v>
      </c>
      <c r="V480" t="s">
        <v>24</v>
      </c>
      <c r="X480" t="s">
        <v>209</v>
      </c>
      <c r="Y480" t="s">
        <v>80</v>
      </c>
      <c r="Z480">
        <v>3</v>
      </c>
      <c r="AA480">
        <v>2</v>
      </c>
      <c r="AB480" t="s">
        <v>11</v>
      </c>
      <c r="AC480" t="s">
        <v>12</v>
      </c>
      <c r="AD480" t="s">
        <v>20</v>
      </c>
      <c r="AE480" t="s">
        <v>29</v>
      </c>
      <c r="AF480" s="1">
        <v>12504</v>
      </c>
      <c r="AG480">
        <f t="shared" ca="1" si="23"/>
        <v>91</v>
      </c>
    </row>
    <row r="481" spans="1:33" x14ac:dyDescent="0.2">
      <c r="A481" s="1">
        <v>46026</v>
      </c>
      <c r="B481" t="str">
        <f t="shared" si="21"/>
        <v>dimanche</v>
      </c>
      <c r="C481" t="str">
        <f t="shared" si="22"/>
        <v>Jour</v>
      </c>
      <c r="D481">
        <v>1500447</v>
      </c>
      <c r="E481">
        <v>2584097</v>
      </c>
      <c r="F481" t="s">
        <v>21</v>
      </c>
      <c r="G481" t="s">
        <v>16</v>
      </c>
      <c r="H481" t="s">
        <v>202</v>
      </c>
      <c r="I481" t="s">
        <v>98</v>
      </c>
      <c r="J481" t="s">
        <v>4</v>
      </c>
      <c r="K481">
        <v>60706</v>
      </c>
      <c r="L481" t="s">
        <v>5</v>
      </c>
      <c r="M481" t="s">
        <v>6</v>
      </c>
      <c r="N481" s="2">
        <v>0.31180555555555556</v>
      </c>
      <c r="O481" s="2">
        <v>0.31319444444444444</v>
      </c>
      <c r="P481" s="2">
        <v>0.31527777777777777</v>
      </c>
      <c r="Q481" s="2">
        <v>0.33055555555555555</v>
      </c>
      <c r="R481" s="2">
        <v>0.34027777777777779</v>
      </c>
      <c r="S481" s="2">
        <v>0.35486111111111113</v>
      </c>
      <c r="T481" t="s">
        <v>38</v>
      </c>
      <c r="U481" t="s">
        <v>251</v>
      </c>
      <c r="V481" t="s">
        <v>8</v>
      </c>
      <c r="X481" t="s">
        <v>190</v>
      </c>
      <c r="Y481" t="s">
        <v>191</v>
      </c>
      <c r="Z481">
        <v>2</v>
      </c>
      <c r="AA481">
        <v>3</v>
      </c>
      <c r="AB481" t="s">
        <v>11</v>
      </c>
      <c r="AC481" t="s">
        <v>12</v>
      </c>
      <c r="AD481" t="s">
        <v>212</v>
      </c>
      <c r="AE481" t="s">
        <v>14</v>
      </c>
      <c r="AF481" s="1">
        <v>11085</v>
      </c>
      <c r="AG481">
        <f t="shared" ca="1" si="23"/>
        <v>95</v>
      </c>
    </row>
    <row r="482" spans="1:33" x14ac:dyDescent="0.2">
      <c r="A482" s="1">
        <v>46027</v>
      </c>
      <c r="B482" t="str">
        <f t="shared" si="21"/>
        <v>lundi</v>
      </c>
      <c r="C482" t="str">
        <f t="shared" si="22"/>
        <v>Jour</v>
      </c>
      <c r="D482">
        <v>1500455</v>
      </c>
      <c r="E482">
        <v>2584382</v>
      </c>
      <c r="F482" t="s">
        <v>21</v>
      </c>
      <c r="G482" t="s">
        <v>16</v>
      </c>
      <c r="H482" t="s">
        <v>41</v>
      </c>
      <c r="I482" t="s">
        <v>98</v>
      </c>
      <c r="J482" t="s">
        <v>256</v>
      </c>
      <c r="K482">
        <v>60706</v>
      </c>
      <c r="L482" t="s">
        <v>5</v>
      </c>
      <c r="M482" t="s">
        <v>6</v>
      </c>
      <c r="N482" s="2">
        <v>0.35486111111111113</v>
      </c>
      <c r="O482" s="2">
        <v>0.35694444444444445</v>
      </c>
      <c r="P482" s="2">
        <v>0.36805555555555558</v>
      </c>
      <c r="Q482" s="2">
        <v>0.40555555555555556</v>
      </c>
      <c r="R482" s="2">
        <v>0.41388888888888886</v>
      </c>
      <c r="S482" s="2">
        <v>0.4375</v>
      </c>
      <c r="T482" t="s">
        <v>7</v>
      </c>
      <c r="U482" t="s">
        <v>18</v>
      </c>
      <c r="V482" t="s">
        <v>141</v>
      </c>
      <c r="X482" t="s">
        <v>110</v>
      </c>
      <c r="Y482" t="s">
        <v>223</v>
      </c>
      <c r="Z482">
        <v>3</v>
      </c>
      <c r="AA482">
        <v>3</v>
      </c>
      <c r="AB482" t="s">
        <v>11</v>
      </c>
      <c r="AC482" t="s">
        <v>28</v>
      </c>
      <c r="AD482" t="s">
        <v>44</v>
      </c>
      <c r="AE482" t="s">
        <v>14</v>
      </c>
      <c r="AF482" s="1">
        <v>9988</v>
      </c>
      <c r="AG482">
        <f t="shared" ca="1" si="23"/>
        <v>98</v>
      </c>
    </row>
    <row r="483" spans="1:33" x14ac:dyDescent="0.2">
      <c r="A483" s="1">
        <v>46027</v>
      </c>
      <c r="B483" t="str">
        <f t="shared" si="21"/>
        <v>lundi</v>
      </c>
      <c r="C483" t="str">
        <f t="shared" si="22"/>
        <v>Jour</v>
      </c>
      <c r="D483">
        <v>1500458</v>
      </c>
      <c r="E483">
        <v>2584</v>
      </c>
      <c r="F483" t="s">
        <v>21</v>
      </c>
      <c r="G483" t="s">
        <v>1</v>
      </c>
      <c r="H483" t="s">
        <v>41</v>
      </c>
      <c r="I483" t="s">
        <v>98</v>
      </c>
      <c r="J483" t="s">
        <v>4</v>
      </c>
      <c r="K483">
        <v>60706</v>
      </c>
      <c r="L483" t="s">
        <v>61</v>
      </c>
      <c r="M483" t="s">
        <v>195</v>
      </c>
      <c r="N483" s="2">
        <v>0.61319444444444449</v>
      </c>
      <c r="O483" s="2">
        <v>0.61458333333333337</v>
      </c>
      <c r="P483" s="2">
        <v>0.61875000000000002</v>
      </c>
      <c r="Q483" s="2">
        <v>0.62777777777777777</v>
      </c>
      <c r="R483" s="2">
        <v>0.63888888888888884</v>
      </c>
      <c r="S483" s="2">
        <v>0.65763888888888888</v>
      </c>
      <c r="T483" t="s">
        <v>86</v>
      </c>
      <c r="U483" t="s">
        <v>251</v>
      </c>
      <c r="V483" t="s">
        <v>8</v>
      </c>
      <c r="X483" t="s">
        <v>9</v>
      </c>
      <c r="Y483" t="s">
        <v>10</v>
      </c>
      <c r="Z483">
        <v>1</v>
      </c>
      <c r="AA483">
        <v>5</v>
      </c>
      <c r="AB483" t="s">
        <v>11</v>
      </c>
      <c r="AC483" t="s">
        <v>12</v>
      </c>
      <c r="AD483" t="s">
        <v>13</v>
      </c>
      <c r="AE483" t="s">
        <v>29</v>
      </c>
      <c r="AF483" s="1">
        <v>28934</v>
      </c>
      <c r="AG483">
        <f t="shared" ca="1" si="23"/>
        <v>46</v>
      </c>
    </row>
    <row r="484" spans="1:33" x14ac:dyDescent="0.2">
      <c r="A484" s="1">
        <v>46027</v>
      </c>
      <c r="B484" t="str">
        <f t="shared" si="21"/>
        <v>lundi</v>
      </c>
      <c r="C484" t="str">
        <f t="shared" si="22"/>
        <v>Jour</v>
      </c>
      <c r="D484">
        <v>1492874</v>
      </c>
      <c r="E484">
        <v>2584474</v>
      </c>
      <c r="F484" t="s">
        <v>56</v>
      </c>
      <c r="G484" t="s">
        <v>1</v>
      </c>
      <c r="H484" t="s">
        <v>81</v>
      </c>
      <c r="I484" t="s">
        <v>115</v>
      </c>
      <c r="J484" t="s">
        <v>4</v>
      </c>
      <c r="K484">
        <v>60707</v>
      </c>
      <c r="L484" t="s">
        <v>61</v>
      </c>
      <c r="M484" t="s">
        <v>195</v>
      </c>
      <c r="N484" s="2">
        <v>0.59722222222222221</v>
      </c>
      <c r="O484" s="2">
        <v>0.59791666666666665</v>
      </c>
      <c r="P484" s="2">
        <v>0.59861111111111109</v>
      </c>
      <c r="Q484" s="2">
        <v>0.62638888888888888</v>
      </c>
      <c r="R484" s="2">
        <v>0.63541666666666663</v>
      </c>
      <c r="S484" s="2">
        <v>0.65972222222222221</v>
      </c>
      <c r="T484" t="s">
        <v>87</v>
      </c>
      <c r="U484" t="s">
        <v>265</v>
      </c>
      <c r="V484" t="s">
        <v>8</v>
      </c>
      <c r="X484" t="s">
        <v>100</v>
      </c>
      <c r="Y484" t="s">
        <v>217</v>
      </c>
      <c r="Z484">
        <v>2</v>
      </c>
      <c r="AA484">
        <v>3</v>
      </c>
      <c r="AB484" t="s">
        <v>11</v>
      </c>
      <c r="AC484" t="s">
        <v>12</v>
      </c>
      <c r="AD484" t="s">
        <v>20</v>
      </c>
      <c r="AE484" t="s">
        <v>14</v>
      </c>
      <c r="AF484" s="1">
        <v>36521</v>
      </c>
      <c r="AG484">
        <f t="shared" ca="1" si="23"/>
        <v>26</v>
      </c>
    </row>
    <row r="485" spans="1:33" x14ac:dyDescent="0.2">
      <c r="A485" s="1">
        <v>46027</v>
      </c>
      <c r="B485" t="str">
        <f t="shared" si="21"/>
        <v>lundi</v>
      </c>
      <c r="C485" t="str">
        <f t="shared" si="22"/>
        <v>Jour</v>
      </c>
      <c r="D485">
        <v>1500457</v>
      </c>
      <c r="E485">
        <v>2584455</v>
      </c>
      <c r="F485" t="s">
        <v>21</v>
      </c>
      <c r="G485" t="s">
        <v>1</v>
      </c>
      <c r="H485" t="s">
        <v>98</v>
      </c>
      <c r="I485" t="s">
        <v>41</v>
      </c>
      <c r="J485" t="s">
        <v>256</v>
      </c>
      <c r="K485">
        <v>60706</v>
      </c>
      <c r="L485" t="s">
        <v>5</v>
      </c>
      <c r="M485" t="s">
        <v>6</v>
      </c>
      <c r="N485" s="2">
        <v>0.55555555555555558</v>
      </c>
      <c r="O485" s="2">
        <v>0.55763888888888891</v>
      </c>
      <c r="P485" s="2">
        <v>0.56041666666666667</v>
      </c>
      <c r="Q485" s="2">
        <v>0.58333333333333337</v>
      </c>
      <c r="R485" s="2">
        <v>0.58819444444444446</v>
      </c>
      <c r="S485" s="2">
        <v>0.60902777777777772</v>
      </c>
      <c r="T485" t="s">
        <v>218</v>
      </c>
      <c r="U485" t="s">
        <v>251</v>
      </c>
      <c r="V485" t="s">
        <v>8</v>
      </c>
      <c r="X485" t="s">
        <v>9</v>
      </c>
      <c r="Y485" t="s">
        <v>10</v>
      </c>
      <c r="Z485">
        <v>3</v>
      </c>
      <c r="AA485">
        <v>3</v>
      </c>
      <c r="AB485" t="s">
        <v>11</v>
      </c>
      <c r="AC485" t="s">
        <v>12</v>
      </c>
      <c r="AD485" t="s">
        <v>20</v>
      </c>
      <c r="AE485" t="s">
        <v>29</v>
      </c>
      <c r="AF485" s="1">
        <v>18797</v>
      </c>
      <c r="AG485">
        <f t="shared" ca="1" si="23"/>
        <v>74</v>
      </c>
    </row>
    <row r="486" spans="1:33" x14ac:dyDescent="0.2">
      <c r="A486" s="1">
        <v>46027</v>
      </c>
      <c r="B486" t="str">
        <f t="shared" si="21"/>
        <v>lundi</v>
      </c>
      <c r="C486" t="str">
        <f t="shared" si="22"/>
        <v>Jour</v>
      </c>
      <c r="D486">
        <v>1417495</v>
      </c>
      <c r="E486">
        <v>0</v>
      </c>
      <c r="F486" t="s">
        <v>25</v>
      </c>
      <c r="G486" t="s">
        <v>25</v>
      </c>
      <c r="H486" t="s">
        <v>189</v>
      </c>
      <c r="I486" t="s">
        <v>23</v>
      </c>
      <c r="J486" t="s">
        <v>4</v>
      </c>
      <c r="K486">
        <v>60705</v>
      </c>
      <c r="L486" t="s">
        <v>5</v>
      </c>
      <c r="M486" t="s">
        <v>6</v>
      </c>
      <c r="N486" s="2">
        <v>0.58333333333333337</v>
      </c>
      <c r="O486" s="2">
        <v>0.58333333333333337</v>
      </c>
      <c r="P486" s="2">
        <v>0.59027777777777779</v>
      </c>
      <c r="Q486" s="2">
        <v>0.61111111111111116</v>
      </c>
      <c r="R486" s="2">
        <v>0.62083333333333335</v>
      </c>
      <c r="S486" s="2">
        <v>0.64583333333333337</v>
      </c>
      <c r="T486" t="s">
        <v>86</v>
      </c>
      <c r="U486" t="s">
        <v>265</v>
      </c>
      <c r="V486" t="s">
        <v>86</v>
      </c>
      <c r="X486" t="s">
        <v>33</v>
      </c>
      <c r="Y486" t="s">
        <v>34</v>
      </c>
      <c r="Z486">
        <v>2</v>
      </c>
      <c r="AA486">
        <v>3</v>
      </c>
      <c r="AB486" t="s">
        <v>11</v>
      </c>
      <c r="AC486" t="s">
        <v>12</v>
      </c>
      <c r="AD486" t="s">
        <v>20</v>
      </c>
      <c r="AE486" t="s">
        <v>29</v>
      </c>
      <c r="AF486" s="1">
        <v>13664</v>
      </c>
      <c r="AG486">
        <f t="shared" ca="1" si="23"/>
        <v>88</v>
      </c>
    </row>
    <row r="487" spans="1:33" x14ac:dyDescent="0.2">
      <c r="A487" s="1">
        <v>46027</v>
      </c>
      <c r="B487" t="str">
        <f t="shared" si="21"/>
        <v>lundi</v>
      </c>
      <c r="C487" t="str">
        <f t="shared" si="22"/>
        <v>Jour</v>
      </c>
      <c r="D487">
        <v>1492873</v>
      </c>
      <c r="E487">
        <v>2584419</v>
      </c>
      <c r="F487" t="s">
        <v>56</v>
      </c>
      <c r="G487" t="s">
        <v>1</v>
      </c>
      <c r="H487" t="s">
        <v>115</v>
      </c>
      <c r="I487" t="s">
        <v>81</v>
      </c>
      <c r="J487" t="s">
        <v>50</v>
      </c>
      <c r="K487">
        <v>60707</v>
      </c>
      <c r="L487" t="s">
        <v>61</v>
      </c>
      <c r="M487" t="s">
        <v>6</v>
      </c>
      <c r="N487" s="2">
        <v>0.44722222222222224</v>
      </c>
      <c r="O487" s="2">
        <v>0.44861111111111113</v>
      </c>
      <c r="P487" s="2">
        <v>0.45624999999999999</v>
      </c>
      <c r="Q487" s="2">
        <v>0.48055555555555557</v>
      </c>
      <c r="R487" s="2">
        <v>0.48749999999999999</v>
      </c>
      <c r="S487" s="2">
        <v>0.50069444444444444</v>
      </c>
      <c r="T487" t="s">
        <v>52</v>
      </c>
      <c r="U487" t="s">
        <v>18</v>
      </c>
      <c r="V487" t="s">
        <v>8</v>
      </c>
      <c r="X487" t="s">
        <v>209</v>
      </c>
      <c r="Y487" t="s">
        <v>80</v>
      </c>
      <c r="Z487">
        <v>2</v>
      </c>
      <c r="AA487">
        <v>4</v>
      </c>
      <c r="AB487" t="s">
        <v>11</v>
      </c>
      <c r="AC487" t="s">
        <v>12</v>
      </c>
      <c r="AD487" t="s">
        <v>20</v>
      </c>
      <c r="AE487" t="s">
        <v>14</v>
      </c>
      <c r="AF487" s="1">
        <v>16090</v>
      </c>
      <c r="AG487">
        <f t="shared" ca="1" si="23"/>
        <v>82</v>
      </c>
    </row>
    <row r="488" spans="1:33" x14ac:dyDescent="0.2">
      <c r="A488" s="1">
        <v>46027</v>
      </c>
      <c r="B488" t="str">
        <f t="shared" si="21"/>
        <v>lundi</v>
      </c>
      <c r="C488" t="str">
        <f t="shared" si="22"/>
        <v>Jour</v>
      </c>
      <c r="D488">
        <v>1417494</v>
      </c>
      <c r="E488">
        <v>2584448</v>
      </c>
      <c r="F488" t="s">
        <v>25</v>
      </c>
      <c r="G488" t="s">
        <v>25</v>
      </c>
      <c r="H488" t="s">
        <v>23</v>
      </c>
      <c r="I488" t="s">
        <v>189</v>
      </c>
      <c r="J488" t="s">
        <v>4</v>
      </c>
      <c r="K488">
        <v>60705</v>
      </c>
      <c r="L488" t="s">
        <v>5</v>
      </c>
      <c r="M488" t="s">
        <v>6</v>
      </c>
      <c r="N488" s="2">
        <v>0.52986111111111112</v>
      </c>
      <c r="O488" s="2">
        <v>0.53472222222222221</v>
      </c>
      <c r="P488" s="2">
        <v>0.53819444444444442</v>
      </c>
      <c r="Q488" s="2">
        <v>0.5625</v>
      </c>
      <c r="R488" s="2">
        <v>0.57013888888888886</v>
      </c>
      <c r="S488" s="2">
        <v>0.58333333333333337</v>
      </c>
      <c r="T488" t="s">
        <v>7</v>
      </c>
      <c r="U488" t="s">
        <v>263</v>
      </c>
      <c r="V488" t="s">
        <v>8</v>
      </c>
      <c r="X488" t="s">
        <v>74</v>
      </c>
      <c r="Y488" t="s">
        <v>208</v>
      </c>
      <c r="Z488">
        <v>3</v>
      </c>
      <c r="AA488">
        <v>2</v>
      </c>
      <c r="AB488" t="s">
        <v>11</v>
      </c>
      <c r="AC488" t="s">
        <v>28</v>
      </c>
      <c r="AD488" t="s">
        <v>20</v>
      </c>
      <c r="AE488" t="s">
        <v>14</v>
      </c>
      <c r="AF488" s="1">
        <v>11120</v>
      </c>
      <c r="AG488">
        <f t="shared" ca="1" si="23"/>
        <v>95</v>
      </c>
    </row>
    <row r="489" spans="1:33" x14ac:dyDescent="0.2">
      <c r="A489" s="1">
        <v>46024</v>
      </c>
      <c r="B489" t="str">
        <f t="shared" si="21"/>
        <v>vendredi</v>
      </c>
      <c r="C489" t="str">
        <f t="shared" si="22"/>
        <v>Jour</v>
      </c>
      <c r="D489">
        <v>1500441</v>
      </c>
      <c r="E489">
        <v>2583690</v>
      </c>
      <c r="F489" t="s">
        <v>21</v>
      </c>
      <c r="G489" t="s">
        <v>1</v>
      </c>
      <c r="H489" t="s">
        <v>81</v>
      </c>
      <c r="I489" t="s">
        <v>213</v>
      </c>
      <c r="J489" t="s">
        <v>4</v>
      </c>
      <c r="K489">
        <v>60706</v>
      </c>
      <c r="L489" t="s">
        <v>5</v>
      </c>
      <c r="M489" t="s">
        <v>253</v>
      </c>
      <c r="N489" s="2">
        <v>0.63194444444444442</v>
      </c>
      <c r="O489" s="2">
        <v>0.63263888888888886</v>
      </c>
      <c r="P489" s="2">
        <v>0.64027777777777772</v>
      </c>
      <c r="Q489" s="2">
        <v>0.67361111111111116</v>
      </c>
      <c r="R489" s="2">
        <v>0.68333333333333335</v>
      </c>
      <c r="S489" s="2">
        <v>0.71180555555555558</v>
      </c>
      <c r="T489" t="s">
        <v>7</v>
      </c>
      <c r="U489" t="s">
        <v>65</v>
      </c>
      <c r="V489" t="s">
        <v>8</v>
      </c>
      <c r="X489" t="s">
        <v>100</v>
      </c>
      <c r="Y489" t="s">
        <v>217</v>
      </c>
      <c r="Z489">
        <v>1</v>
      </c>
      <c r="AA489">
        <v>4</v>
      </c>
      <c r="AB489" t="s">
        <v>11</v>
      </c>
      <c r="AC489" t="s">
        <v>12</v>
      </c>
      <c r="AD489" t="s">
        <v>36</v>
      </c>
      <c r="AE489" t="s">
        <v>29</v>
      </c>
      <c r="AF489" s="1">
        <v>33158</v>
      </c>
      <c r="AG489">
        <f t="shared" ca="1" si="23"/>
        <v>35</v>
      </c>
    </row>
    <row r="490" spans="1:33" x14ac:dyDescent="0.2">
      <c r="A490" s="1">
        <v>46027</v>
      </c>
      <c r="B490" t="str">
        <f t="shared" si="21"/>
        <v>lundi</v>
      </c>
      <c r="C490" t="str">
        <f t="shared" si="22"/>
        <v>Jour</v>
      </c>
      <c r="D490">
        <v>1492872</v>
      </c>
      <c r="E490">
        <v>2584376</v>
      </c>
      <c r="F490" t="s">
        <v>56</v>
      </c>
      <c r="G490" t="s">
        <v>1</v>
      </c>
      <c r="H490" t="s">
        <v>81</v>
      </c>
      <c r="I490" t="s">
        <v>115</v>
      </c>
      <c r="J490" t="s">
        <v>4</v>
      </c>
      <c r="K490">
        <v>60707</v>
      </c>
      <c r="L490" t="s">
        <v>5</v>
      </c>
      <c r="M490" t="s">
        <v>6</v>
      </c>
      <c r="N490" s="2">
        <v>0.37222222222222223</v>
      </c>
      <c r="O490" s="2">
        <v>0.33888888888888891</v>
      </c>
      <c r="P490" s="2">
        <v>0.34791666666666665</v>
      </c>
      <c r="Q490" s="2">
        <v>0.35694444444444445</v>
      </c>
      <c r="R490" s="2">
        <v>0.36944444444444446</v>
      </c>
      <c r="S490" s="2">
        <v>0.39583333333333331</v>
      </c>
      <c r="T490" t="s">
        <v>87</v>
      </c>
      <c r="U490" t="s">
        <v>102</v>
      </c>
      <c r="V490" t="s">
        <v>8</v>
      </c>
      <c r="X490" t="s">
        <v>66</v>
      </c>
      <c r="Y490" t="s">
        <v>85</v>
      </c>
      <c r="Z490">
        <v>2</v>
      </c>
      <c r="AA490">
        <v>4</v>
      </c>
      <c r="AB490" t="s">
        <v>11</v>
      </c>
      <c r="AC490" t="s">
        <v>12</v>
      </c>
      <c r="AD490" t="s">
        <v>113</v>
      </c>
      <c r="AE490" t="s">
        <v>29</v>
      </c>
      <c r="AF490" s="1">
        <v>33756</v>
      </c>
      <c r="AG490">
        <f t="shared" ca="1" si="23"/>
        <v>33</v>
      </c>
    </row>
    <row r="491" spans="1:33" x14ac:dyDescent="0.2">
      <c r="A491" s="1">
        <v>46023</v>
      </c>
      <c r="B491" t="str">
        <f t="shared" si="21"/>
        <v>jeudi</v>
      </c>
      <c r="C491" t="str">
        <f t="shared" si="22"/>
        <v>Jour</v>
      </c>
      <c r="D491">
        <v>1500437</v>
      </c>
      <c r="E491">
        <v>2583464</v>
      </c>
      <c r="F491" t="s">
        <v>15</v>
      </c>
      <c r="G491" t="s">
        <v>1</v>
      </c>
      <c r="H491" t="s">
        <v>55</v>
      </c>
      <c r="I491" t="s">
        <v>111</v>
      </c>
      <c r="J491" t="s">
        <v>4</v>
      </c>
      <c r="K491">
        <v>60706</v>
      </c>
      <c r="L491" t="s">
        <v>5</v>
      </c>
      <c r="M491" t="s">
        <v>253</v>
      </c>
      <c r="N491" s="2">
        <v>0.62708333333333333</v>
      </c>
      <c r="O491" s="2">
        <v>0.62916666666666665</v>
      </c>
      <c r="P491" s="2">
        <v>0.63402777777777775</v>
      </c>
      <c r="Q491" s="2">
        <v>0.67847222222222225</v>
      </c>
      <c r="R491" s="2">
        <v>0.69305555555555554</v>
      </c>
      <c r="S491" s="2">
        <v>0.73472222222222228</v>
      </c>
      <c r="T491" t="s">
        <v>137</v>
      </c>
      <c r="U491" t="s">
        <v>114</v>
      </c>
      <c r="V491" t="s">
        <v>8</v>
      </c>
      <c r="X491" t="s">
        <v>192</v>
      </c>
      <c r="Y491" t="s">
        <v>128</v>
      </c>
      <c r="Z491">
        <v>1</v>
      </c>
      <c r="AA491">
        <v>4</v>
      </c>
      <c r="AB491" t="s">
        <v>11</v>
      </c>
      <c r="AC491" t="s">
        <v>28</v>
      </c>
      <c r="AD491" t="s">
        <v>20</v>
      </c>
      <c r="AE491" t="s">
        <v>29</v>
      </c>
      <c r="AF491" s="1">
        <v>15169</v>
      </c>
      <c r="AG491">
        <f t="shared" ca="1" si="23"/>
        <v>84</v>
      </c>
    </row>
    <row r="492" spans="1:33" x14ac:dyDescent="0.2">
      <c r="A492" s="1">
        <v>46023</v>
      </c>
      <c r="B492" t="str">
        <f t="shared" si="21"/>
        <v>jeudi</v>
      </c>
      <c r="C492" t="str">
        <f t="shared" si="22"/>
        <v>Jour</v>
      </c>
      <c r="D492">
        <v>1500435</v>
      </c>
      <c r="E492">
        <v>2583418</v>
      </c>
      <c r="F492" t="s">
        <v>15</v>
      </c>
      <c r="G492" t="s">
        <v>16</v>
      </c>
      <c r="H492" t="s">
        <v>55</v>
      </c>
      <c r="I492" t="s">
        <v>111</v>
      </c>
      <c r="J492" t="s">
        <v>4</v>
      </c>
      <c r="K492">
        <v>60706</v>
      </c>
      <c r="L492" t="s">
        <v>5</v>
      </c>
      <c r="M492" t="s">
        <v>6</v>
      </c>
      <c r="N492" s="2">
        <v>0.4777777777777778</v>
      </c>
      <c r="O492" s="2">
        <v>0.47916666666666669</v>
      </c>
      <c r="P492" s="2">
        <v>0.49236111111111114</v>
      </c>
      <c r="Q492" s="2">
        <v>0.5</v>
      </c>
      <c r="R492" s="2">
        <v>0.50694444444444442</v>
      </c>
      <c r="S492" s="2">
        <v>0.52430555555555558</v>
      </c>
      <c r="T492" t="s">
        <v>64</v>
      </c>
      <c r="U492" t="s">
        <v>65</v>
      </c>
      <c r="V492" t="s">
        <v>8</v>
      </c>
      <c r="X492" t="s">
        <v>33</v>
      </c>
      <c r="Y492" t="s">
        <v>249</v>
      </c>
      <c r="Z492">
        <v>2</v>
      </c>
      <c r="AA492">
        <v>4</v>
      </c>
      <c r="AB492" t="s">
        <v>11</v>
      </c>
      <c r="AC492" t="s">
        <v>12</v>
      </c>
      <c r="AD492" t="s">
        <v>20</v>
      </c>
      <c r="AE492" t="s">
        <v>29</v>
      </c>
      <c r="AF492" s="1">
        <v>29140</v>
      </c>
      <c r="AG492">
        <f t="shared" ca="1" si="23"/>
        <v>46</v>
      </c>
    </row>
    <row r="493" spans="1:33" x14ac:dyDescent="0.2">
      <c r="A493" s="1">
        <v>46027</v>
      </c>
      <c r="B493" t="str">
        <f t="shared" si="21"/>
        <v>lundi</v>
      </c>
      <c r="C493" t="str">
        <f t="shared" si="22"/>
        <v>Nuit</v>
      </c>
      <c r="D493">
        <v>1500454</v>
      </c>
      <c r="E493">
        <v>2584336</v>
      </c>
      <c r="F493" t="s">
        <v>45</v>
      </c>
      <c r="G493" t="s">
        <v>16</v>
      </c>
      <c r="H493" t="s">
        <v>203</v>
      </c>
      <c r="I493" t="s">
        <v>103</v>
      </c>
      <c r="J493" t="s">
        <v>4</v>
      </c>
      <c r="K493">
        <v>60706</v>
      </c>
      <c r="L493" t="s">
        <v>5</v>
      </c>
      <c r="M493" t="s">
        <v>6</v>
      </c>
      <c r="N493" s="2">
        <v>2.7777777777777776E-2</v>
      </c>
      <c r="O493" s="2">
        <v>2.9166666666666667E-2</v>
      </c>
      <c r="P493" s="2">
        <v>3.0555555555555555E-2</v>
      </c>
      <c r="Q493" s="2">
        <v>5.7638888888888892E-2</v>
      </c>
      <c r="R493" s="2">
        <v>6.3194444444444442E-2</v>
      </c>
      <c r="S493" s="2">
        <v>9.0277777777777776E-2</v>
      </c>
      <c r="T493" t="s">
        <v>7</v>
      </c>
      <c r="U493" t="s">
        <v>251</v>
      </c>
      <c r="V493" t="s">
        <v>8</v>
      </c>
      <c r="X493" t="s">
        <v>33</v>
      </c>
      <c r="Y493" t="s">
        <v>208</v>
      </c>
      <c r="Z493">
        <v>3</v>
      </c>
      <c r="AA493">
        <v>2</v>
      </c>
      <c r="AB493" t="s">
        <v>11</v>
      </c>
      <c r="AC493" t="s">
        <v>12</v>
      </c>
      <c r="AD493" t="s">
        <v>20</v>
      </c>
      <c r="AE493" t="s">
        <v>14</v>
      </c>
      <c r="AF493" s="1">
        <v>13978</v>
      </c>
      <c r="AG493">
        <f t="shared" ca="1" si="23"/>
        <v>87</v>
      </c>
    </row>
    <row r="494" spans="1:33" x14ac:dyDescent="0.2">
      <c r="A494" s="1">
        <v>46027</v>
      </c>
      <c r="B494" t="str">
        <f t="shared" si="21"/>
        <v>lundi</v>
      </c>
      <c r="C494" t="str">
        <f t="shared" si="22"/>
        <v>Nuit</v>
      </c>
      <c r="D494">
        <v>1494177</v>
      </c>
      <c r="E494">
        <v>2584327</v>
      </c>
      <c r="F494" t="s">
        <v>0</v>
      </c>
      <c r="G494" t="s">
        <v>1</v>
      </c>
      <c r="H494" t="s">
        <v>63</v>
      </c>
      <c r="I494" t="s">
        <v>99</v>
      </c>
      <c r="J494" t="s">
        <v>4</v>
      </c>
      <c r="K494">
        <v>60708</v>
      </c>
      <c r="L494" t="s">
        <v>61</v>
      </c>
      <c r="M494" t="s">
        <v>253</v>
      </c>
      <c r="N494" s="2">
        <v>0.95208333333333328</v>
      </c>
      <c r="O494" s="2">
        <v>0.95277777777777772</v>
      </c>
      <c r="P494" s="2">
        <v>0.95694444444444449</v>
      </c>
      <c r="Q494" s="2">
        <v>0.97847222222222219</v>
      </c>
      <c r="R494" s="2">
        <v>0.98958333333333337</v>
      </c>
      <c r="S494" s="2">
        <v>1.0416666666666666E-2</v>
      </c>
      <c r="T494" t="s">
        <v>8</v>
      </c>
      <c r="U494" t="s">
        <v>32</v>
      </c>
      <c r="V494" t="s">
        <v>8</v>
      </c>
      <c r="X494" t="s">
        <v>35</v>
      </c>
      <c r="Y494" t="s">
        <v>196</v>
      </c>
      <c r="Z494">
        <v>1</v>
      </c>
      <c r="AA494">
        <v>5</v>
      </c>
      <c r="AB494" t="s">
        <v>11</v>
      </c>
      <c r="AC494" t="s">
        <v>12</v>
      </c>
      <c r="AD494" t="s">
        <v>212</v>
      </c>
      <c r="AE494" t="s">
        <v>14</v>
      </c>
      <c r="AF494" s="1">
        <v>14505</v>
      </c>
      <c r="AG494">
        <f t="shared" ca="1" si="23"/>
        <v>86</v>
      </c>
    </row>
    <row r="495" spans="1:33" x14ac:dyDescent="0.2">
      <c r="A495" s="1">
        <v>46027</v>
      </c>
      <c r="B495" t="str">
        <f t="shared" si="21"/>
        <v>lundi</v>
      </c>
      <c r="C495" t="str">
        <f t="shared" si="22"/>
        <v>Nuit</v>
      </c>
      <c r="D495">
        <v>1494179</v>
      </c>
      <c r="E495">
        <v>2584350</v>
      </c>
      <c r="F495" t="s">
        <v>0</v>
      </c>
      <c r="G495" t="s">
        <v>1</v>
      </c>
      <c r="H495" t="s">
        <v>63</v>
      </c>
      <c r="I495" t="s">
        <v>99</v>
      </c>
      <c r="J495" t="s">
        <v>4</v>
      </c>
      <c r="K495">
        <v>60708</v>
      </c>
      <c r="L495" t="s">
        <v>5</v>
      </c>
      <c r="M495" t="s">
        <v>6</v>
      </c>
      <c r="N495" s="2">
        <v>0.15625</v>
      </c>
      <c r="O495" s="2">
        <v>0.15763888888888888</v>
      </c>
      <c r="P495" s="2">
        <v>0.15972222222222221</v>
      </c>
      <c r="Q495" s="2">
        <v>0.18055555555555555</v>
      </c>
      <c r="R495" s="2">
        <v>0.18888888888888888</v>
      </c>
      <c r="S495" s="2">
        <v>0.20833333333333334</v>
      </c>
      <c r="T495" t="s">
        <v>7</v>
      </c>
      <c r="U495" t="s">
        <v>32</v>
      </c>
      <c r="V495" t="s">
        <v>8</v>
      </c>
      <c r="X495" t="s">
        <v>206</v>
      </c>
      <c r="Y495" t="s">
        <v>207</v>
      </c>
      <c r="Z495">
        <v>3</v>
      </c>
      <c r="AA495">
        <v>3</v>
      </c>
      <c r="AB495" t="s">
        <v>11</v>
      </c>
      <c r="AC495" t="s">
        <v>12</v>
      </c>
      <c r="AD495" t="s">
        <v>20</v>
      </c>
      <c r="AE495" t="s">
        <v>14</v>
      </c>
      <c r="AF495" s="1">
        <v>14226</v>
      </c>
      <c r="AG495">
        <f t="shared" ca="1" si="23"/>
        <v>87</v>
      </c>
    </row>
    <row r="496" spans="1:33" x14ac:dyDescent="0.2">
      <c r="A496" s="1">
        <v>46026</v>
      </c>
      <c r="B496" t="str">
        <f t="shared" si="21"/>
        <v>dimanche</v>
      </c>
      <c r="C496" t="str">
        <f t="shared" si="22"/>
        <v>Jour</v>
      </c>
      <c r="D496">
        <v>1500452</v>
      </c>
      <c r="E496">
        <v>2584289</v>
      </c>
      <c r="F496" t="s">
        <v>45</v>
      </c>
      <c r="G496" t="s">
        <v>16</v>
      </c>
      <c r="H496" t="s">
        <v>203</v>
      </c>
      <c r="I496" t="s">
        <v>103</v>
      </c>
      <c r="J496" t="s">
        <v>4</v>
      </c>
      <c r="K496">
        <v>60706</v>
      </c>
      <c r="L496" t="s">
        <v>5</v>
      </c>
      <c r="M496" t="s">
        <v>6</v>
      </c>
      <c r="N496" s="2">
        <v>0.82708333333333328</v>
      </c>
      <c r="O496" s="2">
        <v>0.82777777777777772</v>
      </c>
      <c r="P496" s="2">
        <v>0.83333333333333337</v>
      </c>
      <c r="S496" s="2">
        <v>0.84583333333333333</v>
      </c>
      <c r="T496" t="s">
        <v>52</v>
      </c>
      <c r="U496" t="s">
        <v>251</v>
      </c>
      <c r="V496" t="s">
        <v>47</v>
      </c>
      <c r="W496" t="s">
        <v>199</v>
      </c>
      <c r="X496" t="s">
        <v>33</v>
      </c>
      <c r="Y496" t="s">
        <v>187</v>
      </c>
      <c r="Z496" t="s">
        <v>188</v>
      </c>
      <c r="AA496">
        <v>2</v>
      </c>
      <c r="AB496" t="s">
        <v>93</v>
      </c>
      <c r="AC496" t="s">
        <v>12</v>
      </c>
      <c r="AD496" t="s">
        <v>20</v>
      </c>
      <c r="AE496" t="s">
        <v>29</v>
      </c>
      <c r="AF496" s="1">
        <v>45569</v>
      </c>
      <c r="AG496">
        <f t="shared" ca="1" si="23"/>
        <v>1</v>
      </c>
    </row>
    <row r="497" spans="1:33" x14ac:dyDescent="0.2">
      <c r="A497" s="1">
        <v>46026</v>
      </c>
      <c r="B497" t="str">
        <f t="shared" si="21"/>
        <v>dimanche</v>
      </c>
      <c r="C497" t="str">
        <f t="shared" si="22"/>
        <v>Nuit</v>
      </c>
      <c r="D497">
        <v>1500453</v>
      </c>
      <c r="E497">
        <v>2584295</v>
      </c>
      <c r="F497" t="s">
        <v>45</v>
      </c>
      <c r="G497" t="s">
        <v>16</v>
      </c>
      <c r="H497" t="s">
        <v>103</v>
      </c>
      <c r="I497" t="s">
        <v>203</v>
      </c>
      <c r="J497" t="s">
        <v>4</v>
      </c>
      <c r="K497">
        <v>60706</v>
      </c>
      <c r="L497" t="s">
        <v>5</v>
      </c>
      <c r="M497" t="s">
        <v>6</v>
      </c>
      <c r="N497" s="2">
        <v>0.84930555555555554</v>
      </c>
      <c r="O497" s="2">
        <v>0.85069444444444442</v>
      </c>
      <c r="P497" s="2">
        <v>0.85833333333333328</v>
      </c>
      <c r="Q497" s="2">
        <v>0.88055555555555554</v>
      </c>
      <c r="R497" s="2">
        <v>0.88958333333333328</v>
      </c>
      <c r="S497" s="2">
        <v>0.94791666666666663</v>
      </c>
      <c r="T497" t="s">
        <v>7</v>
      </c>
      <c r="U497" t="s">
        <v>251</v>
      </c>
      <c r="V497" t="s">
        <v>8</v>
      </c>
      <c r="X497" t="s">
        <v>33</v>
      </c>
      <c r="Y497" t="s">
        <v>259</v>
      </c>
      <c r="Z497">
        <v>3</v>
      </c>
      <c r="AA497">
        <v>2</v>
      </c>
      <c r="AB497" t="s">
        <v>93</v>
      </c>
      <c r="AC497" t="s">
        <v>12</v>
      </c>
      <c r="AD497" t="s">
        <v>20</v>
      </c>
      <c r="AE497" t="s">
        <v>14</v>
      </c>
      <c r="AF497" s="1">
        <v>26774</v>
      </c>
      <c r="AG497">
        <f t="shared" ca="1" si="23"/>
        <v>52</v>
      </c>
    </row>
    <row r="498" spans="1:33" x14ac:dyDescent="0.2">
      <c r="A498" s="1">
        <v>46026</v>
      </c>
      <c r="B498" t="str">
        <f t="shared" si="21"/>
        <v>dimanche</v>
      </c>
      <c r="C498" t="str">
        <f t="shared" si="22"/>
        <v>Nuit</v>
      </c>
      <c r="D498">
        <v>1494176</v>
      </c>
      <c r="E498">
        <v>2584300</v>
      </c>
      <c r="F498" t="s">
        <v>0</v>
      </c>
      <c r="G498" t="s">
        <v>16</v>
      </c>
      <c r="H498" t="s">
        <v>99</v>
      </c>
      <c r="I498" t="s">
        <v>63</v>
      </c>
      <c r="J498" t="s">
        <v>4</v>
      </c>
      <c r="K498">
        <v>60708</v>
      </c>
      <c r="L498" t="s">
        <v>5</v>
      </c>
      <c r="M498" t="s">
        <v>6</v>
      </c>
      <c r="N498" s="2">
        <v>0.85347222222222219</v>
      </c>
      <c r="O498" s="2">
        <v>0.85347222222222219</v>
      </c>
      <c r="P498" s="2">
        <v>0.8618055555555556</v>
      </c>
      <c r="Q498" s="2">
        <v>0.86736111111111114</v>
      </c>
      <c r="R498" s="2">
        <v>0.87430555555555556</v>
      </c>
      <c r="S498" s="2">
        <v>0.89027777777777772</v>
      </c>
      <c r="T498" t="s">
        <v>43</v>
      </c>
      <c r="U498" t="s">
        <v>251</v>
      </c>
      <c r="V498" t="s">
        <v>8</v>
      </c>
      <c r="X498" t="s">
        <v>19</v>
      </c>
      <c r="Y498" t="s">
        <v>211</v>
      </c>
      <c r="Z498">
        <v>1</v>
      </c>
      <c r="AA498">
        <v>4</v>
      </c>
      <c r="AB498" t="s">
        <v>11</v>
      </c>
      <c r="AC498" t="s">
        <v>12</v>
      </c>
      <c r="AD498" t="s">
        <v>20</v>
      </c>
      <c r="AE498" t="s">
        <v>14</v>
      </c>
      <c r="AF498" s="1">
        <v>34702</v>
      </c>
      <c r="AG498">
        <f t="shared" ca="1" si="23"/>
        <v>31</v>
      </c>
    </row>
    <row r="499" spans="1:33" x14ac:dyDescent="0.2">
      <c r="A499" s="1">
        <v>46026</v>
      </c>
      <c r="B499" t="str">
        <f t="shared" si="21"/>
        <v>dimanche</v>
      </c>
      <c r="C499" t="str">
        <f t="shared" si="22"/>
        <v>Jour</v>
      </c>
      <c r="D499">
        <v>1494175</v>
      </c>
      <c r="E499">
        <v>2584275</v>
      </c>
      <c r="F499" t="s">
        <v>0</v>
      </c>
      <c r="G499" t="s">
        <v>1</v>
      </c>
      <c r="H499" t="s">
        <v>63</v>
      </c>
      <c r="I499" t="s">
        <v>99</v>
      </c>
      <c r="J499" t="s">
        <v>4</v>
      </c>
      <c r="K499">
        <v>60708</v>
      </c>
      <c r="L499" t="s">
        <v>5</v>
      </c>
      <c r="M499" t="s">
        <v>6</v>
      </c>
      <c r="N499" s="2">
        <v>0.7993055555555556</v>
      </c>
      <c r="O499" s="2">
        <v>0.80069444444444449</v>
      </c>
      <c r="P499" s="2">
        <v>0.80625000000000002</v>
      </c>
      <c r="Q499" s="2">
        <v>0.81736111111111109</v>
      </c>
      <c r="R499" s="2">
        <v>0.82499999999999996</v>
      </c>
      <c r="S499" s="2">
        <v>0.84722222222222221</v>
      </c>
      <c r="T499" t="s">
        <v>7</v>
      </c>
      <c r="U499" t="s">
        <v>82</v>
      </c>
      <c r="V499" t="s">
        <v>8</v>
      </c>
      <c r="X499" t="s">
        <v>214</v>
      </c>
      <c r="Y499" t="s">
        <v>215</v>
      </c>
      <c r="Z499">
        <v>1</v>
      </c>
      <c r="AA499">
        <v>4</v>
      </c>
      <c r="AB499" t="s">
        <v>11</v>
      </c>
      <c r="AC499" t="s">
        <v>12</v>
      </c>
      <c r="AD499" t="s">
        <v>20</v>
      </c>
      <c r="AE499" t="s">
        <v>29</v>
      </c>
      <c r="AF499" s="1">
        <v>18624</v>
      </c>
      <c r="AG499">
        <f t="shared" ca="1" si="23"/>
        <v>75</v>
      </c>
    </row>
    <row r="500" spans="1:33" x14ac:dyDescent="0.2">
      <c r="A500" s="1">
        <v>46026</v>
      </c>
      <c r="B500" t="str">
        <f t="shared" si="21"/>
        <v>dimanche</v>
      </c>
      <c r="C500" t="str">
        <f t="shared" si="22"/>
        <v>Jour</v>
      </c>
      <c r="D500">
        <v>1494173</v>
      </c>
      <c r="E500">
        <v>2584211</v>
      </c>
      <c r="F500" t="s">
        <v>15</v>
      </c>
      <c r="G500" t="s">
        <v>1</v>
      </c>
      <c r="H500" t="s">
        <v>41</v>
      </c>
      <c r="I500" t="s">
        <v>239</v>
      </c>
      <c r="J500" t="s">
        <v>4</v>
      </c>
      <c r="K500">
        <v>60708</v>
      </c>
      <c r="L500" t="s">
        <v>5</v>
      </c>
      <c r="M500" t="s">
        <v>6</v>
      </c>
      <c r="N500" s="2">
        <v>0.60833333333333328</v>
      </c>
      <c r="O500" s="2">
        <v>0.60833333333333328</v>
      </c>
      <c r="P500" s="2">
        <v>0.61250000000000004</v>
      </c>
      <c r="Q500" s="2">
        <v>0.62430555555555556</v>
      </c>
      <c r="R500" s="2">
        <v>0.63263888888888886</v>
      </c>
      <c r="S500" s="2">
        <v>0.64930555555555558</v>
      </c>
      <c r="T500" t="s">
        <v>38</v>
      </c>
      <c r="U500" t="s">
        <v>265</v>
      </c>
      <c r="V500" t="s">
        <v>8</v>
      </c>
      <c r="X500" t="s">
        <v>238</v>
      </c>
      <c r="Y500" t="s">
        <v>262</v>
      </c>
      <c r="Z500">
        <v>3</v>
      </c>
      <c r="AA500">
        <v>3</v>
      </c>
      <c r="AB500" t="s">
        <v>11</v>
      </c>
      <c r="AC500" t="s">
        <v>12</v>
      </c>
      <c r="AD500" t="s">
        <v>20</v>
      </c>
      <c r="AE500" t="s">
        <v>14</v>
      </c>
      <c r="AF500" s="1">
        <v>10844</v>
      </c>
      <c r="AG500">
        <f t="shared" ca="1" si="23"/>
        <v>96</v>
      </c>
    </row>
    <row r="501" spans="1:33" x14ac:dyDescent="0.2">
      <c r="A501" s="1">
        <v>46026</v>
      </c>
      <c r="B501" t="str">
        <f t="shared" si="21"/>
        <v>dimanche</v>
      </c>
      <c r="C501" t="str">
        <f t="shared" si="22"/>
        <v>Jour</v>
      </c>
      <c r="D501">
        <v>1494174</v>
      </c>
      <c r="E501">
        <v>2584241</v>
      </c>
      <c r="F501" t="s">
        <v>15</v>
      </c>
      <c r="G501" t="s">
        <v>1</v>
      </c>
      <c r="H501" t="s">
        <v>239</v>
      </c>
      <c r="I501" t="s">
        <v>41</v>
      </c>
      <c r="J501" t="s">
        <v>4</v>
      </c>
      <c r="K501">
        <v>60708</v>
      </c>
      <c r="L501" t="s">
        <v>5</v>
      </c>
      <c r="M501" t="s">
        <v>6</v>
      </c>
      <c r="N501" s="2">
        <v>0.68611111111111112</v>
      </c>
      <c r="O501" s="2">
        <v>0.6875</v>
      </c>
      <c r="P501" s="2">
        <v>0.27430555555555558</v>
      </c>
      <c r="Q501" s="2">
        <v>0.70277777777777772</v>
      </c>
      <c r="R501" s="2">
        <v>0.70763888888888893</v>
      </c>
      <c r="S501" s="2">
        <v>0.72916666666666663</v>
      </c>
      <c r="T501" t="s">
        <v>7</v>
      </c>
      <c r="U501" t="s">
        <v>265</v>
      </c>
      <c r="V501" t="s">
        <v>8</v>
      </c>
      <c r="X501" t="s">
        <v>214</v>
      </c>
      <c r="Y501" t="s">
        <v>215</v>
      </c>
      <c r="Z501">
        <v>1</v>
      </c>
      <c r="AA501">
        <v>4</v>
      </c>
      <c r="AB501" t="s">
        <v>93</v>
      </c>
      <c r="AC501" t="s">
        <v>12</v>
      </c>
      <c r="AD501" t="s">
        <v>20</v>
      </c>
      <c r="AE501" t="s">
        <v>29</v>
      </c>
      <c r="AF501" s="1">
        <v>19647</v>
      </c>
      <c r="AG501">
        <f t="shared" ca="1" si="23"/>
        <v>72</v>
      </c>
    </row>
    <row r="502" spans="1:33" x14ac:dyDescent="0.2">
      <c r="A502" s="1">
        <v>46026</v>
      </c>
      <c r="B502" t="str">
        <f t="shared" si="21"/>
        <v>dimanche</v>
      </c>
      <c r="C502" t="str">
        <f t="shared" si="22"/>
        <v>Jour</v>
      </c>
      <c r="D502">
        <v>1500450</v>
      </c>
      <c r="E502">
        <v>2584242</v>
      </c>
      <c r="F502" t="s">
        <v>21</v>
      </c>
      <c r="G502" t="s">
        <v>16</v>
      </c>
      <c r="H502" t="s">
        <v>98</v>
      </c>
      <c r="I502" t="s">
        <v>202</v>
      </c>
      <c r="J502" t="s">
        <v>4</v>
      </c>
      <c r="K502">
        <v>60706</v>
      </c>
      <c r="L502" t="s">
        <v>5</v>
      </c>
      <c r="M502" t="s">
        <v>6</v>
      </c>
      <c r="N502" s="2">
        <v>0.68680555555555556</v>
      </c>
      <c r="O502" s="2">
        <v>0.68819444444444444</v>
      </c>
      <c r="P502" s="2">
        <v>0.69236111111111109</v>
      </c>
      <c r="Q502" s="2">
        <v>0.70138888888888884</v>
      </c>
      <c r="R502" s="2">
        <v>0.7055555555555556</v>
      </c>
      <c r="S502" s="2">
        <v>0.72916666666666663</v>
      </c>
      <c r="T502" t="s">
        <v>43</v>
      </c>
      <c r="U502" t="s">
        <v>251</v>
      </c>
      <c r="V502" t="s">
        <v>8</v>
      </c>
      <c r="X502" t="s">
        <v>192</v>
      </c>
      <c r="Y502" t="s">
        <v>193</v>
      </c>
      <c r="Z502">
        <v>2</v>
      </c>
      <c r="AA502">
        <v>2</v>
      </c>
      <c r="AB502" t="s">
        <v>11</v>
      </c>
      <c r="AC502" t="s">
        <v>28</v>
      </c>
      <c r="AD502" t="s">
        <v>20</v>
      </c>
      <c r="AE502" t="s">
        <v>29</v>
      </c>
      <c r="AF502" s="1">
        <v>17444</v>
      </c>
      <c r="AG502">
        <f t="shared" ca="1" si="23"/>
        <v>78</v>
      </c>
    </row>
    <row r="503" spans="1:33" x14ac:dyDescent="0.2">
      <c r="A503" s="1">
        <v>46026</v>
      </c>
      <c r="B503" t="str">
        <f t="shared" si="21"/>
        <v>dimanche</v>
      </c>
      <c r="C503" t="str">
        <f t="shared" si="22"/>
        <v>Jour</v>
      </c>
      <c r="D503">
        <v>1500449</v>
      </c>
      <c r="E503">
        <v>2584154</v>
      </c>
      <c r="F503" t="s">
        <v>21</v>
      </c>
      <c r="G503" t="s">
        <v>1</v>
      </c>
      <c r="H503" t="s">
        <v>202</v>
      </c>
      <c r="I503" t="s">
        <v>98</v>
      </c>
      <c r="J503" t="s">
        <v>4</v>
      </c>
      <c r="K503">
        <v>60706</v>
      </c>
      <c r="L503" t="s">
        <v>5</v>
      </c>
      <c r="M503" t="s">
        <v>6</v>
      </c>
      <c r="N503" s="2">
        <v>0.47986111111111113</v>
      </c>
      <c r="O503" s="2">
        <v>0.48125000000000001</v>
      </c>
      <c r="P503" s="2">
        <v>0.48402777777777778</v>
      </c>
      <c r="Q503" s="2">
        <v>0.49166666666666664</v>
      </c>
      <c r="R503" s="2">
        <v>0.49375000000000002</v>
      </c>
      <c r="S503" s="2">
        <v>0.51597222222222228</v>
      </c>
      <c r="T503" t="s">
        <v>43</v>
      </c>
      <c r="U503" t="s">
        <v>251</v>
      </c>
      <c r="V503" t="s">
        <v>8</v>
      </c>
      <c r="X503" t="s">
        <v>214</v>
      </c>
      <c r="Y503" t="s">
        <v>215</v>
      </c>
      <c r="Z503">
        <v>1</v>
      </c>
      <c r="AA503">
        <v>4</v>
      </c>
      <c r="AB503" t="s">
        <v>11</v>
      </c>
      <c r="AC503" t="s">
        <v>12</v>
      </c>
      <c r="AD503" t="s">
        <v>20</v>
      </c>
      <c r="AE503" t="s">
        <v>14</v>
      </c>
      <c r="AF503" s="1">
        <v>12650</v>
      </c>
      <c r="AG503">
        <f t="shared" ca="1" si="23"/>
        <v>91</v>
      </c>
    </row>
    <row r="504" spans="1:33" x14ac:dyDescent="0.2">
      <c r="A504" s="1">
        <v>46026</v>
      </c>
      <c r="B504" t="str">
        <f t="shared" si="21"/>
        <v>dimanche</v>
      </c>
      <c r="C504" t="str">
        <f t="shared" si="22"/>
        <v>Jour</v>
      </c>
      <c r="D504">
        <v>1500337</v>
      </c>
      <c r="E504">
        <v>2584212</v>
      </c>
      <c r="F504" t="s">
        <v>25</v>
      </c>
      <c r="G504" t="s">
        <v>25</v>
      </c>
      <c r="H504" t="s">
        <v>151</v>
      </c>
      <c r="I504" t="s">
        <v>23</v>
      </c>
      <c r="J504" t="s">
        <v>4</v>
      </c>
      <c r="K504">
        <v>60709</v>
      </c>
      <c r="L504" t="s">
        <v>5</v>
      </c>
      <c r="M504" t="s">
        <v>6</v>
      </c>
      <c r="N504" s="2">
        <v>0.60972222222222228</v>
      </c>
      <c r="O504" s="2">
        <v>0.61250000000000004</v>
      </c>
      <c r="P504" s="2">
        <v>0.62083333333333335</v>
      </c>
      <c r="Q504" s="2">
        <v>0.63611111111111107</v>
      </c>
      <c r="R504" s="2">
        <v>0.64166666666666672</v>
      </c>
      <c r="S504" s="2">
        <v>0.65625</v>
      </c>
      <c r="T504" t="s">
        <v>7</v>
      </c>
      <c r="U504" t="s">
        <v>251</v>
      </c>
      <c r="V504" t="s">
        <v>8</v>
      </c>
      <c r="X504" t="s">
        <v>74</v>
      </c>
      <c r="Y504" t="s">
        <v>75</v>
      </c>
      <c r="Z504">
        <v>3</v>
      </c>
      <c r="AA504">
        <v>2</v>
      </c>
      <c r="AB504" t="s">
        <v>11</v>
      </c>
      <c r="AC504" t="s">
        <v>28</v>
      </c>
      <c r="AD504" t="s">
        <v>20</v>
      </c>
      <c r="AE504" t="s">
        <v>29</v>
      </c>
      <c r="AF504" s="1">
        <v>27043</v>
      </c>
      <c r="AG504">
        <f t="shared" ca="1" si="23"/>
        <v>52</v>
      </c>
    </row>
    <row r="505" spans="1:33" x14ac:dyDescent="0.2">
      <c r="A505" s="1">
        <v>46026</v>
      </c>
      <c r="B505" t="str">
        <f t="shared" si="21"/>
        <v>dimanche</v>
      </c>
      <c r="C505" t="str">
        <f t="shared" si="22"/>
        <v>Jour</v>
      </c>
      <c r="D505">
        <v>1500336</v>
      </c>
      <c r="E505">
        <v>2584170</v>
      </c>
      <c r="F505" t="s">
        <v>25</v>
      </c>
      <c r="G505" t="s">
        <v>25</v>
      </c>
      <c r="H505" t="s">
        <v>23</v>
      </c>
      <c r="I505" t="s">
        <v>151</v>
      </c>
      <c r="J505" t="s">
        <v>4</v>
      </c>
      <c r="K505">
        <v>60709</v>
      </c>
      <c r="L505" t="s">
        <v>5</v>
      </c>
      <c r="M505" t="s">
        <v>6</v>
      </c>
      <c r="N505" s="2">
        <v>0.54166666666666663</v>
      </c>
      <c r="O505" s="2">
        <v>0.54236111111111107</v>
      </c>
      <c r="P505" s="2">
        <v>0.56597222222222221</v>
      </c>
      <c r="Q505" s="2">
        <v>0.57499999999999996</v>
      </c>
      <c r="R505" s="2">
        <v>0.59166666666666667</v>
      </c>
      <c r="S505" s="2">
        <v>0.60416666666666663</v>
      </c>
      <c r="T505" t="s">
        <v>94</v>
      </c>
      <c r="U505" t="s">
        <v>95</v>
      </c>
      <c r="V505" t="s">
        <v>8</v>
      </c>
      <c r="X505" t="s">
        <v>190</v>
      </c>
      <c r="Y505" t="s">
        <v>34</v>
      </c>
      <c r="Z505">
        <v>2</v>
      </c>
      <c r="AA505">
        <v>3</v>
      </c>
      <c r="AB505" t="s">
        <v>11</v>
      </c>
      <c r="AC505" t="s">
        <v>12</v>
      </c>
      <c r="AD505" t="s">
        <v>20</v>
      </c>
      <c r="AE505" t="s">
        <v>14</v>
      </c>
      <c r="AF505" s="1">
        <v>22792</v>
      </c>
      <c r="AG505">
        <f t="shared" ca="1" si="23"/>
        <v>63</v>
      </c>
    </row>
    <row r="506" spans="1:33" x14ac:dyDescent="0.2">
      <c r="A506" s="1">
        <v>46026</v>
      </c>
      <c r="B506" t="str">
        <f t="shared" si="21"/>
        <v>dimanche</v>
      </c>
      <c r="C506" t="str">
        <f t="shared" si="22"/>
        <v>Jour</v>
      </c>
      <c r="D506">
        <v>1500335</v>
      </c>
      <c r="E506">
        <v>2584147</v>
      </c>
      <c r="F506" t="s">
        <v>25</v>
      </c>
      <c r="G506" t="s">
        <v>25</v>
      </c>
      <c r="H506" t="s">
        <v>151</v>
      </c>
      <c r="I506" t="s">
        <v>23</v>
      </c>
      <c r="J506" t="s">
        <v>4</v>
      </c>
      <c r="K506">
        <v>60709</v>
      </c>
      <c r="L506" t="s">
        <v>5</v>
      </c>
      <c r="M506" t="s">
        <v>6</v>
      </c>
      <c r="N506" s="2">
        <v>0.46527777777777779</v>
      </c>
      <c r="O506" s="2">
        <v>0.46805555555555556</v>
      </c>
      <c r="P506" s="2">
        <v>0.47986111111111113</v>
      </c>
      <c r="Q506" s="2">
        <v>0.5</v>
      </c>
      <c r="R506" s="2">
        <v>0.51875000000000004</v>
      </c>
      <c r="S506" s="2">
        <v>0.53472222222222221</v>
      </c>
      <c r="T506" t="s">
        <v>7</v>
      </c>
      <c r="U506" t="s">
        <v>251</v>
      </c>
      <c r="V506" t="s">
        <v>8</v>
      </c>
      <c r="X506" t="s">
        <v>101</v>
      </c>
      <c r="Y506" t="s">
        <v>207</v>
      </c>
      <c r="Z506">
        <v>3</v>
      </c>
      <c r="AA506">
        <v>3</v>
      </c>
      <c r="AB506" t="s">
        <v>11</v>
      </c>
      <c r="AC506" t="s">
        <v>12</v>
      </c>
      <c r="AD506" t="s">
        <v>20</v>
      </c>
      <c r="AE506" t="s">
        <v>29</v>
      </c>
      <c r="AF506" s="1">
        <v>13144</v>
      </c>
      <c r="AG506">
        <f t="shared" ca="1" si="23"/>
        <v>90</v>
      </c>
    </row>
    <row r="507" spans="1:33" x14ac:dyDescent="0.2">
      <c r="A507" s="1">
        <v>46026</v>
      </c>
      <c r="B507" t="str">
        <f t="shared" si="21"/>
        <v>dimanche</v>
      </c>
      <c r="C507" t="str">
        <f t="shared" si="22"/>
        <v>Jour</v>
      </c>
      <c r="D507">
        <v>1494171</v>
      </c>
      <c r="E507">
        <v>2584101</v>
      </c>
      <c r="F507" t="s">
        <v>15</v>
      </c>
      <c r="G507" t="s">
        <v>1</v>
      </c>
      <c r="H507" t="s">
        <v>41</v>
      </c>
      <c r="I507" t="s">
        <v>239</v>
      </c>
      <c r="J507" t="s">
        <v>4</v>
      </c>
      <c r="K507">
        <v>60708</v>
      </c>
      <c r="L507" t="s">
        <v>5</v>
      </c>
      <c r="M507" t="s">
        <v>204</v>
      </c>
      <c r="N507" s="2">
        <v>0.33333333333333331</v>
      </c>
      <c r="O507" s="2">
        <v>0.33402777777777776</v>
      </c>
      <c r="P507" s="2">
        <v>0.33611111111111114</v>
      </c>
      <c r="Q507" s="2">
        <v>0.35</v>
      </c>
      <c r="R507" s="2">
        <v>0.35902777777777778</v>
      </c>
      <c r="S507" s="2">
        <v>0.375</v>
      </c>
      <c r="T507" t="s">
        <v>17</v>
      </c>
      <c r="U507" t="s">
        <v>32</v>
      </c>
      <c r="V507" t="s">
        <v>8</v>
      </c>
      <c r="X507" t="s">
        <v>100</v>
      </c>
      <c r="Y507" t="s">
        <v>217</v>
      </c>
      <c r="Z507">
        <v>2</v>
      </c>
      <c r="AA507">
        <v>2</v>
      </c>
      <c r="AB507" t="s">
        <v>11</v>
      </c>
      <c r="AC507" t="s">
        <v>12</v>
      </c>
      <c r="AD507" t="s">
        <v>20</v>
      </c>
      <c r="AE507" t="s">
        <v>29</v>
      </c>
      <c r="AF507" s="1">
        <v>32202</v>
      </c>
      <c r="AG507">
        <f t="shared" ca="1" si="23"/>
        <v>37</v>
      </c>
    </row>
    <row r="508" spans="1:33" x14ac:dyDescent="0.2">
      <c r="A508" s="1">
        <v>46025</v>
      </c>
      <c r="B508" t="str">
        <f t="shared" si="21"/>
        <v>samedi</v>
      </c>
      <c r="C508" t="str">
        <f t="shared" si="22"/>
        <v>Jour</v>
      </c>
      <c r="D508">
        <v>1500444</v>
      </c>
      <c r="E508">
        <v>2583921</v>
      </c>
      <c r="F508" t="s">
        <v>21</v>
      </c>
      <c r="G508" t="s">
        <v>16</v>
      </c>
      <c r="H508" t="s">
        <v>239</v>
      </c>
      <c r="I508" t="s">
        <v>98</v>
      </c>
      <c r="J508" t="s">
        <v>4</v>
      </c>
      <c r="K508">
        <v>60706</v>
      </c>
      <c r="L508" t="s">
        <v>5</v>
      </c>
      <c r="M508" t="s">
        <v>6</v>
      </c>
      <c r="N508" s="2">
        <v>0.53472222222222221</v>
      </c>
      <c r="O508" s="2">
        <v>0.53680555555555554</v>
      </c>
      <c r="P508" s="2">
        <v>0.54305555555555551</v>
      </c>
      <c r="Q508" s="2">
        <v>0.55694444444444446</v>
      </c>
      <c r="R508" s="2">
        <v>0.5625</v>
      </c>
      <c r="S508" s="2">
        <v>0.58333333333333337</v>
      </c>
      <c r="T508" t="s">
        <v>43</v>
      </c>
      <c r="U508" t="s">
        <v>251</v>
      </c>
      <c r="V508" t="s">
        <v>8</v>
      </c>
      <c r="X508" t="s">
        <v>252</v>
      </c>
      <c r="Y508" t="s">
        <v>48</v>
      </c>
      <c r="Z508">
        <v>2</v>
      </c>
      <c r="AA508">
        <v>3</v>
      </c>
      <c r="AB508" t="s">
        <v>11</v>
      </c>
      <c r="AC508" t="s">
        <v>12</v>
      </c>
      <c r="AD508" t="s">
        <v>44</v>
      </c>
      <c r="AE508" t="s">
        <v>14</v>
      </c>
      <c r="AF508" s="1">
        <v>14380</v>
      </c>
      <c r="AG508">
        <f t="shared" ca="1" si="23"/>
        <v>86</v>
      </c>
    </row>
    <row r="509" spans="1:33" x14ac:dyDescent="0.2">
      <c r="A509" s="1">
        <v>46025</v>
      </c>
      <c r="B509" t="str">
        <f t="shared" si="21"/>
        <v>samedi</v>
      </c>
      <c r="C509" t="str">
        <f t="shared" si="22"/>
        <v>Jour</v>
      </c>
      <c r="D509">
        <v>1500446</v>
      </c>
      <c r="E509">
        <v>2583984</v>
      </c>
      <c r="F509" t="s">
        <v>21</v>
      </c>
      <c r="G509" t="s">
        <v>16</v>
      </c>
      <c r="H509" t="s">
        <v>239</v>
      </c>
      <c r="I509" t="s">
        <v>98</v>
      </c>
      <c r="J509" t="s">
        <v>4</v>
      </c>
      <c r="K509">
        <v>60706</v>
      </c>
      <c r="L509" t="s">
        <v>5</v>
      </c>
      <c r="M509" t="s">
        <v>6</v>
      </c>
      <c r="N509" s="2">
        <v>0.7</v>
      </c>
      <c r="O509" s="2">
        <v>0.70208333333333328</v>
      </c>
      <c r="P509" s="2">
        <v>0.71250000000000002</v>
      </c>
      <c r="Q509" s="2">
        <v>0.73333333333333328</v>
      </c>
      <c r="R509" s="2">
        <v>0.74791666666666667</v>
      </c>
      <c r="S509" s="2">
        <v>0.78125</v>
      </c>
      <c r="T509" t="s">
        <v>7</v>
      </c>
      <c r="U509" t="s">
        <v>46</v>
      </c>
      <c r="V509" t="s">
        <v>8</v>
      </c>
      <c r="X509" t="s">
        <v>192</v>
      </c>
      <c r="Y509" t="s">
        <v>193</v>
      </c>
      <c r="Z509">
        <v>2</v>
      </c>
      <c r="AA509">
        <v>3</v>
      </c>
      <c r="AB509" t="s">
        <v>11</v>
      </c>
      <c r="AC509" t="s">
        <v>12</v>
      </c>
      <c r="AD509" t="s">
        <v>20</v>
      </c>
      <c r="AE509" t="s">
        <v>14</v>
      </c>
      <c r="AF509" s="1">
        <v>12459</v>
      </c>
      <c r="AG509">
        <f t="shared" ca="1" si="23"/>
        <v>92</v>
      </c>
    </row>
    <row r="510" spans="1:33" x14ac:dyDescent="0.2">
      <c r="A510" s="1">
        <v>46026</v>
      </c>
      <c r="B510" t="str">
        <f t="shared" si="21"/>
        <v>dimanche</v>
      </c>
      <c r="C510" t="str">
        <f t="shared" si="22"/>
        <v>Jour</v>
      </c>
      <c r="D510">
        <v>1494172</v>
      </c>
      <c r="E510">
        <v>2584123</v>
      </c>
      <c r="F510" t="s">
        <v>15</v>
      </c>
      <c r="G510" t="s">
        <v>1</v>
      </c>
      <c r="H510" t="s">
        <v>239</v>
      </c>
      <c r="I510" t="s">
        <v>41</v>
      </c>
      <c r="J510" t="s">
        <v>4</v>
      </c>
      <c r="K510">
        <v>60708</v>
      </c>
      <c r="L510" t="s">
        <v>5</v>
      </c>
      <c r="M510" t="s">
        <v>6</v>
      </c>
      <c r="N510" s="2">
        <v>0.41458333333333336</v>
      </c>
      <c r="O510" s="2">
        <v>0.4152777777777778</v>
      </c>
      <c r="P510" s="2">
        <v>0.42152777777777778</v>
      </c>
      <c r="Q510" s="2">
        <v>0.43541666666666667</v>
      </c>
      <c r="R510" s="2">
        <v>0.44791666666666669</v>
      </c>
      <c r="S510" s="2">
        <v>0.46527777777777779</v>
      </c>
      <c r="T510" t="s">
        <v>7</v>
      </c>
      <c r="U510" t="s">
        <v>46</v>
      </c>
      <c r="V510" t="s">
        <v>8</v>
      </c>
      <c r="X510" t="s">
        <v>105</v>
      </c>
      <c r="Y510" t="s">
        <v>106</v>
      </c>
      <c r="Z510">
        <v>3</v>
      </c>
      <c r="AA510">
        <v>2</v>
      </c>
      <c r="AB510" t="s">
        <v>11</v>
      </c>
      <c r="AC510" t="s">
        <v>28</v>
      </c>
      <c r="AD510" t="s">
        <v>44</v>
      </c>
      <c r="AE510" t="s">
        <v>29</v>
      </c>
      <c r="AF510" s="1">
        <v>37067</v>
      </c>
      <c r="AG510">
        <f t="shared" ca="1" si="23"/>
        <v>24</v>
      </c>
    </row>
    <row r="511" spans="1:33" x14ac:dyDescent="0.2">
      <c r="A511" s="1">
        <v>46026</v>
      </c>
      <c r="B511" t="str">
        <f t="shared" si="21"/>
        <v>dimanche</v>
      </c>
      <c r="C511" t="str">
        <f t="shared" si="22"/>
        <v>Jour</v>
      </c>
      <c r="D511">
        <v>1500448</v>
      </c>
      <c r="E511">
        <v>2584108</v>
      </c>
      <c r="F511" t="s">
        <v>21</v>
      </c>
      <c r="G511" t="s">
        <v>1</v>
      </c>
      <c r="H511" t="s">
        <v>98</v>
      </c>
      <c r="I511" t="s">
        <v>202</v>
      </c>
      <c r="J511" t="s">
        <v>4</v>
      </c>
      <c r="K511">
        <v>60706</v>
      </c>
      <c r="L511" t="s">
        <v>5</v>
      </c>
      <c r="M511" t="s">
        <v>6</v>
      </c>
      <c r="N511" s="2">
        <v>0.36249999999999999</v>
      </c>
      <c r="O511" s="2">
        <v>0.36249999999999999</v>
      </c>
      <c r="P511" s="2">
        <v>0.33611111111111114</v>
      </c>
      <c r="Q511" s="2">
        <v>0.38611111111111113</v>
      </c>
      <c r="R511" s="2">
        <v>0.39166666666666666</v>
      </c>
      <c r="S511" s="2">
        <v>0.41666666666666669</v>
      </c>
      <c r="T511" t="s">
        <v>7</v>
      </c>
      <c r="U511" t="s">
        <v>32</v>
      </c>
      <c r="V511" t="s">
        <v>8</v>
      </c>
      <c r="X511" t="s">
        <v>9</v>
      </c>
      <c r="Y511" t="s">
        <v>10</v>
      </c>
      <c r="Z511">
        <v>2</v>
      </c>
      <c r="AA511">
        <v>4</v>
      </c>
      <c r="AB511" t="s">
        <v>11</v>
      </c>
      <c r="AC511" t="s">
        <v>12</v>
      </c>
      <c r="AD511" t="s">
        <v>152</v>
      </c>
      <c r="AE511" t="s">
        <v>14</v>
      </c>
      <c r="AF511" s="1">
        <v>26774</v>
      </c>
      <c r="AG511">
        <f t="shared" ca="1" si="23"/>
        <v>52</v>
      </c>
    </row>
    <row r="512" spans="1:33" x14ac:dyDescent="0.2">
      <c r="A512" s="1">
        <v>46026</v>
      </c>
      <c r="B512" t="str">
        <f t="shared" si="21"/>
        <v>dimanche</v>
      </c>
      <c r="C512" t="str">
        <f t="shared" si="22"/>
        <v>Jour</v>
      </c>
      <c r="D512">
        <v>1500443</v>
      </c>
      <c r="E512">
        <v>2583857</v>
      </c>
      <c r="F512" t="s">
        <v>21</v>
      </c>
      <c r="G512" t="s">
        <v>16</v>
      </c>
      <c r="H512" t="s">
        <v>98</v>
      </c>
      <c r="I512" t="s">
        <v>239</v>
      </c>
      <c r="J512" t="s">
        <v>4</v>
      </c>
      <c r="K512">
        <v>60706</v>
      </c>
      <c r="L512" t="s">
        <v>5</v>
      </c>
      <c r="M512" t="s">
        <v>6</v>
      </c>
      <c r="N512" s="2">
        <v>0.39930555555555558</v>
      </c>
      <c r="O512" s="2">
        <v>0.40138888888888891</v>
      </c>
      <c r="P512" s="2">
        <v>0.41388888888888886</v>
      </c>
      <c r="Q512" s="2">
        <v>0.43402777777777779</v>
      </c>
      <c r="R512" s="2">
        <v>0.44930555555555557</v>
      </c>
      <c r="S512" s="2">
        <v>0.46875</v>
      </c>
      <c r="T512" t="s">
        <v>7</v>
      </c>
      <c r="U512" t="s">
        <v>102</v>
      </c>
      <c r="V512" t="s">
        <v>8</v>
      </c>
      <c r="X512" t="s">
        <v>190</v>
      </c>
      <c r="Y512" t="s">
        <v>191</v>
      </c>
      <c r="Z512">
        <v>2</v>
      </c>
      <c r="AA512">
        <v>3</v>
      </c>
      <c r="AB512" t="s">
        <v>11</v>
      </c>
      <c r="AC512" t="s">
        <v>12</v>
      </c>
      <c r="AD512" t="s">
        <v>212</v>
      </c>
      <c r="AE512" t="s">
        <v>29</v>
      </c>
      <c r="AF512" s="1">
        <v>13120</v>
      </c>
      <c r="AG512">
        <f t="shared" ca="1" si="23"/>
        <v>90</v>
      </c>
    </row>
    <row r="513" spans="1:33" x14ac:dyDescent="0.2">
      <c r="A513" s="1">
        <v>46026</v>
      </c>
      <c r="B513" t="str">
        <f t="shared" si="21"/>
        <v>dimanche</v>
      </c>
      <c r="C513" t="str">
        <f t="shared" si="22"/>
        <v>Jour</v>
      </c>
      <c r="D513">
        <v>1500445</v>
      </c>
      <c r="E513">
        <v>2583943</v>
      </c>
      <c r="F513" t="s">
        <v>21</v>
      </c>
      <c r="G513" t="s">
        <v>16</v>
      </c>
      <c r="H513" t="s">
        <v>98</v>
      </c>
      <c r="I513" t="s">
        <v>239</v>
      </c>
      <c r="J513" t="s">
        <v>4</v>
      </c>
      <c r="K513">
        <v>60706</v>
      </c>
      <c r="L513" t="s">
        <v>61</v>
      </c>
      <c r="M513" t="s">
        <v>253</v>
      </c>
      <c r="N513" s="2">
        <v>0.59861111111111109</v>
      </c>
      <c r="O513" s="2">
        <v>0.59861111111111109</v>
      </c>
      <c r="P513" s="2">
        <v>0.60277777777777775</v>
      </c>
      <c r="Q513" s="2">
        <v>0.63055555555555554</v>
      </c>
      <c r="R513" s="2">
        <v>0.63194444444444442</v>
      </c>
      <c r="S513" s="2">
        <v>0.65277777777777779</v>
      </c>
      <c r="T513" t="s">
        <v>7</v>
      </c>
      <c r="U513" t="s">
        <v>251</v>
      </c>
      <c r="V513" t="s">
        <v>8</v>
      </c>
      <c r="X513" t="s">
        <v>58</v>
      </c>
      <c r="Y513" t="s">
        <v>59</v>
      </c>
      <c r="Z513">
        <v>1</v>
      </c>
      <c r="AA513">
        <v>4</v>
      </c>
      <c r="AB513" t="s">
        <v>11</v>
      </c>
      <c r="AC513" t="s">
        <v>12</v>
      </c>
      <c r="AD513" t="s">
        <v>62</v>
      </c>
      <c r="AE513" t="s">
        <v>14</v>
      </c>
      <c r="AF513" s="1">
        <v>17605</v>
      </c>
      <c r="AG513">
        <f t="shared" ca="1" si="23"/>
        <v>77</v>
      </c>
    </row>
    <row r="514" spans="1:33" x14ac:dyDescent="0.2">
      <c r="A514" s="1">
        <v>46026</v>
      </c>
      <c r="B514" t="str">
        <f t="shared" ref="B514:B577" si="24">TEXT(A514,"JJJJ")</f>
        <v>dimanche</v>
      </c>
      <c r="C514" t="str">
        <f t="shared" ref="C514:C548" si="25">IF(AND(HOUR(N514)&gt;=7,HOUR(N514)&lt;=19),"Jour","Nuit")</f>
        <v>Nuit</v>
      </c>
      <c r="D514">
        <v>1494169</v>
      </c>
      <c r="E514">
        <v>2584070</v>
      </c>
      <c r="F514" t="s">
        <v>0</v>
      </c>
      <c r="G514" t="s">
        <v>16</v>
      </c>
      <c r="H514" t="s">
        <v>203</v>
      </c>
      <c r="I514" t="s">
        <v>3</v>
      </c>
      <c r="J514" t="s">
        <v>4</v>
      </c>
      <c r="K514">
        <v>60708</v>
      </c>
      <c r="L514" t="s">
        <v>5</v>
      </c>
      <c r="M514" t="s">
        <v>6</v>
      </c>
      <c r="N514" s="2">
        <v>0.11180555555555556</v>
      </c>
      <c r="O514" s="2">
        <v>0.11319444444444444</v>
      </c>
      <c r="P514" s="2">
        <v>0.11597222222222223</v>
      </c>
      <c r="S514" s="2">
        <v>0.14374999999999999</v>
      </c>
      <c r="T514" t="s">
        <v>7</v>
      </c>
      <c r="U514" t="s">
        <v>265</v>
      </c>
      <c r="V514" t="s">
        <v>47</v>
      </c>
      <c r="W514" t="s">
        <v>83</v>
      </c>
      <c r="X514" t="s">
        <v>33</v>
      </c>
      <c r="Y514" t="s">
        <v>208</v>
      </c>
      <c r="Z514">
        <v>4</v>
      </c>
      <c r="AA514">
        <v>1</v>
      </c>
      <c r="AB514" t="s">
        <v>11</v>
      </c>
      <c r="AC514" t="s">
        <v>12</v>
      </c>
      <c r="AD514" t="s">
        <v>20</v>
      </c>
      <c r="AE514" t="s">
        <v>29</v>
      </c>
      <c r="AF514" s="1">
        <v>19646</v>
      </c>
      <c r="AG514">
        <f t="shared" ref="AG514:AG577" ca="1" si="26">INT((TODAY()-AF514)/365.25)</f>
        <v>72</v>
      </c>
    </row>
    <row r="515" spans="1:33" x14ac:dyDescent="0.2">
      <c r="A515" s="1">
        <v>46026</v>
      </c>
      <c r="B515" t="str">
        <f t="shared" si="24"/>
        <v>dimanche</v>
      </c>
      <c r="C515" t="str">
        <f t="shared" si="25"/>
        <v>Nuit</v>
      </c>
      <c r="D515">
        <v>1494170</v>
      </c>
      <c r="E515">
        <v>2584083</v>
      </c>
      <c r="F515" t="s">
        <v>0</v>
      </c>
      <c r="G515" t="s">
        <v>16</v>
      </c>
      <c r="H515" t="s">
        <v>3</v>
      </c>
      <c r="I515" t="s">
        <v>203</v>
      </c>
      <c r="J515" t="s">
        <v>4</v>
      </c>
      <c r="K515">
        <v>60708</v>
      </c>
      <c r="L515" t="s">
        <v>5</v>
      </c>
      <c r="M515" t="s">
        <v>6</v>
      </c>
      <c r="N515" s="2">
        <v>0.2048611111111111</v>
      </c>
      <c r="O515" s="2">
        <v>0.20694444444444443</v>
      </c>
      <c r="P515" s="2">
        <v>0.21111111111111111</v>
      </c>
      <c r="Q515" s="2">
        <v>0.23194444444444445</v>
      </c>
      <c r="R515" s="2">
        <v>0.24583333333333332</v>
      </c>
      <c r="S515" s="2">
        <v>0.26041666666666669</v>
      </c>
      <c r="T515" t="s">
        <v>7</v>
      </c>
      <c r="U515" t="s">
        <v>32</v>
      </c>
      <c r="V515" t="s">
        <v>8</v>
      </c>
      <c r="X515" t="s">
        <v>33</v>
      </c>
      <c r="Y515" t="s">
        <v>194</v>
      </c>
      <c r="Z515">
        <v>3</v>
      </c>
      <c r="AA515">
        <v>2</v>
      </c>
      <c r="AB515" t="s">
        <v>11</v>
      </c>
      <c r="AC515" t="s">
        <v>12</v>
      </c>
      <c r="AD515" t="s">
        <v>20</v>
      </c>
      <c r="AE515" t="s">
        <v>29</v>
      </c>
      <c r="AF515" s="1">
        <v>33924</v>
      </c>
      <c r="AG515">
        <f t="shared" ca="1" si="26"/>
        <v>33</v>
      </c>
    </row>
    <row r="516" spans="1:33" x14ac:dyDescent="0.2">
      <c r="A516" s="1">
        <v>46025</v>
      </c>
      <c r="B516" t="str">
        <f t="shared" si="24"/>
        <v>samedi</v>
      </c>
      <c r="C516" t="str">
        <f t="shared" si="25"/>
        <v>Nuit</v>
      </c>
      <c r="D516">
        <v>1494168</v>
      </c>
      <c r="E516">
        <v>2584046</v>
      </c>
      <c r="F516" t="s">
        <v>0</v>
      </c>
      <c r="G516" t="s">
        <v>1</v>
      </c>
      <c r="H516" t="s">
        <v>3</v>
      </c>
      <c r="I516" t="s">
        <v>203</v>
      </c>
      <c r="J516" t="s">
        <v>4</v>
      </c>
      <c r="K516">
        <v>60708</v>
      </c>
      <c r="L516" t="s">
        <v>5</v>
      </c>
      <c r="M516" t="s">
        <v>6</v>
      </c>
      <c r="N516" s="2">
        <v>0.89930555555555558</v>
      </c>
      <c r="O516" s="2">
        <v>0.89930555555555558</v>
      </c>
      <c r="P516" s="2">
        <v>0.90277777777777779</v>
      </c>
      <c r="Q516" s="2">
        <v>0.92569444444444449</v>
      </c>
      <c r="R516" s="2">
        <v>0.93402777777777779</v>
      </c>
      <c r="S516" s="2">
        <v>0.95486111111111116</v>
      </c>
      <c r="T516" t="s">
        <v>7</v>
      </c>
      <c r="U516" t="s">
        <v>65</v>
      </c>
      <c r="V516" t="s">
        <v>8</v>
      </c>
      <c r="X516" t="s">
        <v>58</v>
      </c>
      <c r="Y516" t="s">
        <v>59</v>
      </c>
      <c r="Z516">
        <v>1</v>
      </c>
      <c r="AA516">
        <v>4</v>
      </c>
      <c r="AB516" t="s">
        <v>11</v>
      </c>
      <c r="AC516" t="s">
        <v>12</v>
      </c>
      <c r="AD516" t="s">
        <v>60</v>
      </c>
      <c r="AE516" t="s">
        <v>14</v>
      </c>
      <c r="AF516" s="1">
        <v>34624</v>
      </c>
      <c r="AG516">
        <f t="shared" ca="1" si="26"/>
        <v>31</v>
      </c>
    </row>
    <row r="517" spans="1:33" x14ac:dyDescent="0.2">
      <c r="A517" s="1">
        <v>46025</v>
      </c>
      <c r="B517" t="str">
        <f t="shared" si="24"/>
        <v>samedi</v>
      </c>
      <c r="C517" t="str">
        <f t="shared" si="25"/>
        <v>Nuit</v>
      </c>
      <c r="D517">
        <v>1494167</v>
      </c>
      <c r="E517">
        <v>2584028</v>
      </c>
      <c r="F517" t="s">
        <v>0</v>
      </c>
      <c r="G517" t="s">
        <v>1</v>
      </c>
      <c r="H517" t="s">
        <v>203</v>
      </c>
      <c r="I517" t="s">
        <v>3</v>
      </c>
      <c r="J517" t="s">
        <v>4</v>
      </c>
      <c r="K517">
        <v>60708</v>
      </c>
      <c r="L517" t="s">
        <v>5</v>
      </c>
      <c r="M517" t="s">
        <v>6</v>
      </c>
      <c r="N517" s="2">
        <v>0.84583333333333333</v>
      </c>
      <c r="O517" s="2">
        <v>0.84652777777777777</v>
      </c>
      <c r="P517" s="2">
        <v>0.8520833333333333</v>
      </c>
      <c r="Q517" s="2">
        <v>0.86388888888888893</v>
      </c>
      <c r="R517" s="2">
        <v>0.87222222222222223</v>
      </c>
      <c r="S517" s="2">
        <v>0.88888888888888884</v>
      </c>
      <c r="T517" t="s">
        <v>7</v>
      </c>
      <c r="U517" t="s">
        <v>251</v>
      </c>
      <c r="V517" t="s">
        <v>8</v>
      </c>
      <c r="X517" t="s">
        <v>9</v>
      </c>
      <c r="Y517" t="s">
        <v>10</v>
      </c>
      <c r="Z517">
        <v>2</v>
      </c>
      <c r="AA517">
        <v>2</v>
      </c>
      <c r="AB517" t="s">
        <v>11</v>
      </c>
      <c r="AC517" t="s">
        <v>12</v>
      </c>
      <c r="AD517" t="s">
        <v>20</v>
      </c>
      <c r="AE517" t="s">
        <v>29</v>
      </c>
      <c r="AF517" s="1">
        <v>22672</v>
      </c>
      <c r="AG517">
        <f t="shared" ca="1" si="26"/>
        <v>64</v>
      </c>
    </row>
    <row r="518" spans="1:33" x14ac:dyDescent="0.2">
      <c r="A518" s="1">
        <v>46025</v>
      </c>
      <c r="B518" t="str">
        <f t="shared" si="24"/>
        <v>samedi</v>
      </c>
      <c r="C518" t="str">
        <f t="shared" si="25"/>
        <v>Jour</v>
      </c>
      <c r="D518">
        <v>1494166</v>
      </c>
      <c r="E518">
        <v>2583934</v>
      </c>
      <c r="F518" t="s">
        <v>15</v>
      </c>
      <c r="G518" t="s">
        <v>16</v>
      </c>
      <c r="H518" t="s">
        <v>103</v>
      </c>
      <c r="I518" t="s">
        <v>202</v>
      </c>
      <c r="J518" t="s">
        <v>4</v>
      </c>
      <c r="K518">
        <v>60708</v>
      </c>
      <c r="L518" t="s">
        <v>5</v>
      </c>
      <c r="M518" t="s">
        <v>6</v>
      </c>
      <c r="N518" s="2">
        <v>0.56736111111111109</v>
      </c>
      <c r="O518" s="2">
        <v>0.56805555555555554</v>
      </c>
      <c r="P518" s="2">
        <v>0.57152777777777775</v>
      </c>
      <c r="Q518" s="2">
        <v>0.59513888888888888</v>
      </c>
      <c r="R518" s="2">
        <v>0.60416666666666663</v>
      </c>
      <c r="S518" s="2">
        <v>0.625</v>
      </c>
      <c r="T518" t="s">
        <v>7</v>
      </c>
      <c r="U518" t="s">
        <v>32</v>
      </c>
      <c r="V518" t="s">
        <v>8</v>
      </c>
      <c r="X518" t="s">
        <v>190</v>
      </c>
      <c r="Y518" t="s">
        <v>191</v>
      </c>
      <c r="Z518">
        <v>2</v>
      </c>
      <c r="AA518">
        <v>4</v>
      </c>
      <c r="AB518" t="s">
        <v>11</v>
      </c>
      <c r="AC518" t="s">
        <v>12</v>
      </c>
      <c r="AD518" t="s">
        <v>212</v>
      </c>
      <c r="AE518" t="s">
        <v>14</v>
      </c>
      <c r="AF518" s="1">
        <v>11202</v>
      </c>
      <c r="AG518">
        <f t="shared" ca="1" si="26"/>
        <v>95</v>
      </c>
    </row>
    <row r="519" spans="1:33" x14ac:dyDescent="0.2">
      <c r="A519" s="1">
        <v>46025</v>
      </c>
      <c r="B519" t="str">
        <f t="shared" si="24"/>
        <v>samedi</v>
      </c>
      <c r="C519" t="str">
        <f t="shared" si="25"/>
        <v>Jour</v>
      </c>
      <c r="D519">
        <v>1494165</v>
      </c>
      <c r="E519">
        <v>2583901</v>
      </c>
      <c r="F519" t="s">
        <v>15</v>
      </c>
      <c r="G519" t="s">
        <v>1</v>
      </c>
      <c r="H519" t="s">
        <v>202</v>
      </c>
      <c r="I519" t="s">
        <v>103</v>
      </c>
      <c r="J519" t="s">
        <v>4</v>
      </c>
      <c r="K519">
        <v>60708</v>
      </c>
      <c r="L519" t="s">
        <v>5</v>
      </c>
      <c r="M519" t="s">
        <v>6</v>
      </c>
      <c r="N519" s="2">
        <v>0.49861111111111112</v>
      </c>
      <c r="O519" s="2">
        <v>0.49930555555555556</v>
      </c>
      <c r="P519" s="2">
        <v>0.5</v>
      </c>
      <c r="Q519" s="2">
        <v>0.50694444444444442</v>
      </c>
      <c r="R519" s="2">
        <v>0.5180555555555556</v>
      </c>
      <c r="S519" s="2">
        <v>0.52986111111111112</v>
      </c>
      <c r="T519" t="s">
        <v>24</v>
      </c>
      <c r="U519" t="s">
        <v>265</v>
      </c>
      <c r="V519" t="s">
        <v>8</v>
      </c>
      <c r="X519" t="s">
        <v>190</v>
      </c>
      <c r="Y519" t="s">
        <v>191</v>
      </c>
      <c r="Z519">
        <v>2</v>
      </c>
      <c r="AA519">
        <v>3</v>
      </c>
      <c r="AB519" t="s">
        <v>11</v>
      </c>
      <c r="AC519" t="s">
        <v>12</v>
      </c>
      <c r="AD519" t="s">
        <v>219</v>
      </c>
      <c r="AE519" t="s">
        <v>29</v>
      </c>
      <c r="AF519" s="1">
        <v>45352</v>
      </c>
      <c r="AG519">
        <f t="shared" ca="1" si="26"/>
        <v>1</v>
      </c>
    </row>
    <row r="520" spans="1:33" x14ac:dyDescent="0.2">
      <c r="A520" s="1">
        <v>46025</v>
      </c>
      <c r="B520" t="str">
        <f t="shared" si="24"/>
        <v>samedi</v>
      </c>
      <c r="C520" t="str">
        <f t="shared" si="25"/>
        <v>Jour</v>
      </c>
      <c r="D520">
        <v>1494164</v>
      </c>
      <c r="E520">
        <v>2583858</v>
      </c>
      <c r="F520" t="s">
        <v>15</v>
      </c>
      <c r="G520" t="s">
        <v>16</v>
      </c>
      <c r="H520" t="s">
        <v>103</v>
      </c>
      <c r="I520" t="s">
        <v>202</v>
      </c>
      <c r="J520" t="s">
        <v>4</v>
      </c>
      <c r="K520">
        <v>60708</v>
      </c>
      <c r="L520" t="s">
        <v>5</v>
      </c>
      <c r="M520" t="s">
        <v>6</v>
      </c>
      <c r="N520" s="2">
        <v>0.40694444444444444</v>
      </c>
      <c r="O520" s="2">
        <v>0.40763888888888888</v>
      </c>
      <c r="P520" s="2">
        <v>0.41111111111111109</v>
      </c>
      <c r="Q520" s="2">
        <v>0.47569444444444442</v>
      </c>
      <c r="R520" s="2">
        <v>0.4777777777777778</v>
      </c>
      <c r="S520" s="2">
        <v>0.49652777777777779</v>
      </c>
      <c r="T520" t="s">
        <v>7</v>
      </c>
      <c r="U520" t="s">
        <v>265</v>
      </c>
      <c r="V520" t="s">
        <v>24</v>
      </c>
      <c r="X520" t="s">
        <v>33</v>
      </c>
      <c r="Y520" t="s">
        <v>259</v>
      </c>
      <c r="Z520">
        <v>2</v>
      </c>
      <c r="AA520">
        <v>3</v>
      </c>
      <c r="AB520" t="s">
        <v>11</v>
      </c>
      <c r="AC520" t="s">
        <v>12</v>
      </c>
      <c r="AD520" t="s">
        <v>20</v>
      </c>
      <c r="AE520" t="s">
        <v>29</v>
      </c>
      <c r="AF520" s="1">
        <v>11721</v>
      </c>
      <c r="AG520">
        <f t="shared" ca="1" si="26"/>
        <v>94</v>
      </c>
    </row>
    <row r="521" spans="1:33" x14ac:dyDescent="0.2">
      <c r="A521" s="1">
        <v>46025</v>
      </c>
      <c r="B521" t="str">
        <f t="shared" si="24"/>
        <v>samedi</v>
      </c>
      <c r="C521" t="str">
        <f t="shared" si="25"/>
        <v>Jour</v>
      </c>
      <c r="D521">
        <v>1494163</v>
      </c>
      <c r="E521">
        <v>2583838</v>
      </c>
      <c r="F521" t="s">
        <v>15</v>
      </c>
      <c r="G521" t="s">
        <v>16</v>
      </c>
      <c r="H521" t="s">
        <v>202</v>
      </c>
      <c r="I521" t="s">
        <v>103</v>
      </c>
      <c r="J521" t="s">
        <v>4</v>
      </c>
      <c r="K521">
        <v>60708</v>
      </c>
      <c r="L521" t="s">
        <v>61</v>
      </c>
      <c r="M521" t="s">
        <v>253</v>
      </c>
      <c r="N521" s="2">
        <v>0.30833333333333335</v>
      </c>
      <c r="O521" s="2">
        <v>0.30972222222222223</v>
      </c>
      <c r="P521" s="2">
        <v>0.31388888888888888</v>
      </c>
      <c r="Q521" s="2">
        <v>0.37013888888888891</v>
      </c>
      <c r="R521" s="2">
        <v>0.375</v>
      </c>
      <c r="S521" s="2">
        <v>0.39166666666666666</v>
      </c>
      <c r="T521" t="s">
        <v>7</v>
      </c>
      <c r="U521" t="s">
        <v>32</v>
      </c>
      <c r="V521" t="s">
        <v>8</v>
      </c>
      <c r="X521" t="s">
        <v>19</v>
      </c>
      <c r="Y521" t="s">
        <v>220</v>
      </c>
      <c r="Z521">
        <v>1</v>
      </c>
      <c r="AA521">
        <v>4</v>
      </c>
      <c r="AB521" t="s">
        <v>11</v>
      </c>
      <c r="AC521" t="s">
        <v>12</v>
      </c>
      <c r="AD521" t="s">
        <v>20</v>
      </c>
      <c r="AE521" t="s">
        <v>14</v>
      </c>
      <c r="AF521" s="1">
        <v>26315</v>
      </c>
      <c r="AG521">
        <f t="shared" ca="1" si="26"/>
        <v>54</v>
      </c>
    </row>
    <row r="522" spans="1:33" x14ac:dyDescent="0.2">
      <c r="A522" s="1">
        <v>46025</v>
      </c>
      <c r="B522" t="str">
        <f t="shared" si="24"/>
        <v>samedi</v>
      </c>
      <c r="C522" t="str">
        <f t="shared" si="25"/>
        <v>Jour</v>
      </c>
      <c r="D522">
        <v>1500334</v>
      </c>
      <c r="E522">
        <v>2583937</v>
      </c>
      <c r="F522" t="s">
        <v>25</v>
      </c>
      <c r="G522" t="s">
        <v>25</v>
      </c>
      <c r="H522" t="s">
        <v>57</v>
      </c>
      <c r="I522" t="s">
        <v>197</v>
      </c>
      <c r="J522" t="s">
        <v>50</v>
      </c>
      <c r="K522">
        <v>60709</v>
      </c>
      <c r="L522" t="s">
        <v>5</v>
      </c>
      <c r="M522" t="s">
        <v>6</v>
      </c>
      <c r="N522" s="2">
        <v>0.56944444444444442</v>
      </c>
      <c r="O522" s="2">
        <v>0.5756944444444444</v>
      </c>
      <c r="P522" s="2">
        <v>0.58611111111111114</v>
      </c>
      <c r="Q522" s="2">
        <v>0.59722222222222221</v>
      </c>
      <c r="R522" s="2">
        <v>0.60138888888888886</v>
      </c>
      <c r="S522" s="2">
        <v>0.61805555555555558</v>
      </c>
      <c r="T522" t="s">
        <v>24</v>
      </c>
      <c r="U522" t="s">
        <v>251</v>
      </c>
      <c r="V522" t="s">
        <v>8</v>
      </c>
      <c r="X522" t="s">
        <v>33</v>
      </c>
      <c r="Y522" t="s">
        <v>191</v>
      </c>
      <c r="Z522">
        <v>3</v>
      </c>
      <c r="AA522">
        <v>3</v>
      </c>
      <c r="AB522" t="s">
        <v>11</v>
      </c>
      <c r="AC522" t="s">
        <v>12</v>
      </c>
      <c r="AD522" t="s">
        <v>212</v>
      </c>
      <c r="AE522" t="s">
        <v>29</v>
      </c>
      <c r="AF522" s="1">
        <v>17135</v>
      </c>
      <c r="AG522">
        <f t="shared" ca="1" si="26"/>
        <v>79</v>
      </c>
    </row>
    <row r="523" spans="1:33" x14ac:dyDescent="0.2">
      <c r="A523" s="1">
        <v>46025</v>
      </c>
      <c r="B523" t="str">
        <f t="shared" si="24"/>
        <v>samedi</v>
      </c>
      <c r="C523" t="str">
        <f t="shared" si="25"/>
        <v>Jour</v>
      </c>
      <c r="D523">
        <v>1500332</v>
      </c>
      <c r="E523">
        <v>2583850</v>
      </c>
      <c r="F523" t="s">
        <v>25</v>
      </c>
      <c r="G523" t="s">
        <v>25</v>
      </c>
      <c r="H523" t="s">
        <v>57</v>
      </c>
      <c r="I523" t="s">
        <v>197</v>
      </c>
      <c r="J523" t="s">
        <v>50</v>
      </c>
      <c r="K523">
        <v>60709</v>
      </c>
      <c r="L523" t="s">
        <v>5</v>
      </c>
      <c r="M523" t="s">
        <v>6</v>
      </c>
      <c r="N523" s="2">
        <v>0.38055555555555554</v>
      </c>
      <c r="O523" s="2">
        <v>0.38472222222222224</v>
      </c>
      <c r="P523" s="2">
        <v>0.38680555555555557</v>
      </c>
      <c r="Q523" s="2">
        <v>0.39930555555555558</v>
      </c>
      <c r="R523" s="2">
        <v>0.40694444444444444</v>
      </c>
      <c r="S523" s="2">
        <v>0.4236111111111111</v>
      </c>
      <c r="T523" t="s">
        <v>24</v>
      </c>
      <c r="U523" t="s">
        <v>265</v>
      </c>
      <c r="V523" t="s">
        <v>8</v>
      </c>
      <c r="X523" t="s">
        <v>190</v>
      </c>
      <c r="Y523" t="s">
        <v>191</v>
      </c>
      <c r="Z523">
        <v>3</v>
      </c>
      <c r="AA523">
        <v>3</v>
      </c>
      <c r="AB523" t="s">
        <v>11</v>
      </c>
      <c r="AC523" t="s">
        <v>12</v>
      </c>
      <c r="AD523" t="s">
        <v>212</v>
      </c>
      <c r="AE523" t="s">
        <v>14</v>
      </c>
      <c r="AF523" s="1">
        <v>16072</v>
      </c>
      <c r="AG523">
        <f t="shared" ca="1" si="26"/>
        <v>82</v>
      </c>
    </row>
    <row r="524" spans="1:33" x14ac:dyDescent="0.2">
      <c r="A524" s="1">
        <v>46025</v>
      </c>
      <c r="B524" t="str">
        <f t="shared" si="24"/>
        <v>samedi</v>
      </c>
      <c r="C524" t="str">
        <f t="shared" si="25"/>
        <v>Jour</v>
      </c>
      <c r="D524">
        <v>1500333</v>
      </c>
      <c r="E524">
        <v>2583900</v>
      </c>
      <c r="F524" t="s">
        <v>25</v>
      </c>
      <c r="G524" t="s">
        <v>25</v>
      </c>
      <c r="H524" t="s">
        <v>197</v>
      </c>
      <c r="I524" t="s">
        <v>57</v>
      </c>
      <c r="J524" t="s">
        <v>50</v>
      </c>
      <c r="K524">
        <v>60709</v>
      </c>
      <c r="L524" t="s">
        <v>5</v>
      </c>
      <c r="M524" t="s">
        <v>6</v>
      </c>
      <c r="N524" s="2">
        <v>0.48541666666666666</v>
      </c>
      <c r="O524" s="2">
        <v>0.48819444444444443</v>
      </c>
      <c r="P524" s="2">
        <v>0.50694444444444442</v>
      </c>
      <c r="Q524" s="2">
        <v>0.51875000000000004</v>
      </c>
      <c r="R524" s="2">
        <v>0.52847222222222223</v>
      </c>
      <c r="S524" s="2">
        <v>0.54861111111111116</v>
      </c>
      <c r="T524" t="s">
        <v>8</v>
      </c>
      <c r="U524" t="s">
        <v>70</v>
      </c>
      <c r="V524" t="s">
        <v>8</v>
      </c>
      <c r="X524" t="s">
        <v>192</v>
      </c>
      <c r="Y524" t="s">
        <v>198</v>
      </c>
      <c r="Z524">
        <v>2</v>
      </c>
      <c r="AA524">
        <v>4</v>
      </c>
      <c r="AB524" t="s">
        <v>11</v>
      </c>
      <c r="AC524" t="s">
        <v>28</v>
      </c>
      <c r="AD524" t="s">
        <v>20</v>
      </c>
      <c r="AE524" t="s">
        <v>14</v>
      </c>
      <c r="AF524" s="1">
        <v>13183</v>
      </c>
      <c r="AG524">
        <f t="shared" ca="1" si="26"/>
        <v>90</v>
      </c>
    </row>
    <row r="525" spans="1:33" x14ac:dyDescent="0.2">
      <c r="A525" s="1">
        <v>46024</v>
      </c>
      <c r="B525" t="str">
        <f t="shared" si="24"/>
        <v>vendredi</v>
      </c>
      <c r="C525" t="str">
        <f t="shared" si="25"/>
        <v>Jour</v>
      </c>
      <c r="D525">
        <v>1500327</v>
      </c>
      <c r="E525">
        <v>2583642</v>
      </c>
      <c r="F525" t="s">
        <v>25</v>
      </c>
      <c r="G525" t="s">
        <v>25</v>
      </c>
      <c r="H525" t="s">
        <v>57</v>
      </c>
      <c r="I525" t="s">
        <v>197</v>
      </c>
      <c r="J525" t="s">
        <v>4</v>
      </c>
      <c r="K525">
        <v>60709</v>
      </c>
      <c r="L525" t="s">
        <v>5</v>
      </c>
      <c r="M525" t="s">
        <v>6</v>
      </c>
      <c r="N525" s="2">
        <v>0.50208333333333333</v>
      </c>
      <c r="O525" s="2">
        <v>0.50555555555555554</v>
      </c>
      <c r="P525" s="2">
        <v>0.51597222222222228</v>
      </c>
      <c r="Q525" s="2">
        <v>0.52361111111111114</v>
      </c>
      <c r="R525" s="2">
        <v>0.53472222222222221</v>
      </c>
      <c r="S525" s="2">
        <v>0.55555555555555558</v>
      </c>
      <c r="T525" t="s">
        <v>64</v>
      </c>
      <c r="U525" t="s">
        <v>65</v>
      </c>
      <c r="V525" t="s">
        <v>8</v>
      </c>
      <c r="X525" t="s">
        <v>74</v>
      </c>
      <c r="Y525" t="s">
        <v>75</v>
      </c>
      <c r="Z525">
        <v>3</v>
      </c>
      <c r="AA525">
        <v>3</v>
      </c>
      <c r="AB525" t="s">
        <v>11</v>
      </c>
      <c r="AC525" t="s">
        <v>28</v>
      </c>
      <c r="AD525" t="s">
        <v>20</v>
      </c>
      <c r="AE525" t="s">
        <v>29</v>
      </c>
      <c r="AF525" s="1">
        <v>33674</v>
      </c>
      <c r="AG525">
        <f t="shared" ca="1" si="26"/>
        <v>33</v>
      </c>
    </row>
    <row r="526" spans="1:33" x14ac:dyDescent="0.2">
      <c r="A526" s="1">
        <v>46024</v>
      </c>
      <c r="B526" t="str">
        <f t="shared" si="24"/>
        <v>vendredi</v>
      </c>
      <c r="C526" t="str">
        <f t="shared" si="25"/>
        <v>Nuit</v>
      </c>
      <c r="D526">
        <v>1500372</v>
      </c>
      <c r="E526">
        <v>2583555</v>
      </c>
      <c r="F526" t="s">
        <v>0</v>
      </c>
      <c r="G526" t="s">
        <v>16</v>
      </c>
      <c r="H526" t="s">
        <v>103</v>
      </c>
      <c r="I526" t="s">
        <v>41</v>
      </c>
      <c r="J526" t="s">
        <v>4</v>
      </c>
      <c r="K526">
        <v>60704</v>
      </c>
      <c r="L526" t="s">
        <v>61</v>
      </c>
      <c r="M526" t="s">
        <v>253</v>
      </c>
      <c r="N526" s="2">
        <v>0.14930555555555555</v>
      </c>
      <c r="O526" s="2">
        <v>0.15208333333333332</v>
      </c>
      <c r="P526" s="2">
        <v>0.15486111111111112</v>
      </c>
      <c r="S526" s="2">
        <v>0.19375000000000001</v>
      </c>
      <c r="T526" t="s">
        <v>7</v>
      </c>
      <c r="U526" t="s">
        <v>32</v>
      </c>
      <c r="V526" t="s">
        <v>47</v>
      </c>
      <c r="W526" t="s">
        <v>216</v>
      </c>
      <c r="X526" t="s">
        <v>192</v>
      </c>
      <c r="Y526" t="s">
        <v>198</v>
      </c>
      <c r="Z526">
        <v>3</v>
      </c>
      <c r="AA526">
        <v>2</v>
      </c>
      <c r="AB526" t="s">
        <v>93</v>
      </c>
      <c r="AC526" t="s">
        <v>12</v>
      </c>
      <c r="AD526" t="s">
        <v>44</v>
      </c>
      <c r="AE526" t="s">
        <v>14</v>
      </c>
      <c r="AF526" s="1">
        <v>21327</v>
      </c>
      <c r="AG526">
        <f t="shared" ca="1" si="26"/>
        <v>67</v>
      </c>
    </row>
    <row r="527" spans="1:33" x14ac:dyDescent="0.2">
      <c r="A527" s="1">
        <v>46024</v>
      </c>
      <c r="B527" t="str">
        <f t="shared" si="24"/>
        <v>vendredi</v>
      </c>
      <c r="C527" t="str">
        <f t="shared" si="25"/>
        <v>Nuit</v>
      </c>
      <c r="D527">
        <v>1500329</v>
      </c>
      <c r="E527">
        <v>2583749</v>
      </c>
      <c r="F527" t="s">
        <v>0</v>
      </c>
      <c r="G527" t="s">
        <v>91</v>
      </c>
      <c r="H527" t="s">
        <v>3</v>
      </c>
      <c r="I527" t="s">
        <v>2</v>
      </c>
      <c r="J527" t="s">
        <v>4</v>
      </c>
      <c r="K527">
        <v>60709</v>
      </c>
      <c r="L527" t="s">
        <v>5</v>
      </c>
      <c r="M527" t="s">
        <v>6</v>
      </c>
      <c r="N527" s="2">
        <v>0.84375</v>
      </c>
      <c r="O527" s="2">
        <v>0.84652777777777777</v>
      </c>
      <c r="P527" s="2">
        <v>0.85069444444444442</v>
      </c>
      <c r="Q527" s="2">
        <v>0.86319444444444449</v>
      </c>
      <c r="R527" s="2">
        <v>0.87083333333333335</v>
      </c>
      <c r="S527" s="2">
        <v>0.88194444444444442</v>
      </c>
      <c r="T527" t="s">
        <v>24</v>
      </c>
      <c r="U527" t="s">
        <v>265</v>
      </c>
      <c r="V527" t="s">
        <v>8</v>
      </c>
      <c r="X527" t="s">
        <v>190</v>
      </c>
      <c r="Y527" t="s">
        <v>191</v>
      </c>
      <c r="Z527">
        <v>2</v>
      </c>
      <c r="AA527">
        <v>4</v>
      </c>
      <c r="AB527" t="s">
        <v>11</v>
      </c>
      <c r="AC527" t="s">
        <v>12</v>
      </c>
      <c r="AD527" t="s">
        <v>212</v>
      </c>
      <c r="AE527" t="s">
        <v>14</v>
      </c>
      <c r="AF527" s="1">
        <v>11586</v>
      </c>
      <c r="AG527">
        <f t="shared" ca="1" si="26"/>
        <v>94</v>
      </c>
    </row>
    <row r="528" spans="1:33" x14ac:dyDescent="0.2">
      <c r="A528" s="1">
        <v>46024</v>
      </c>
      <c r="B528" t="str">
        <f t="shared" si="24"/>
        <v>vendredi</v>
      </c>
      <c r="C528" t="str">
        <f t="shared" si="25"/>
        <v>Jour</v>
      </c>
      <c r="D528">
        <v>1500442</v>
      </c>
      <c r="E528">
        <v>2583739</v>
      </c>
      <c r="F528" t="s">
        <v>21</v>
      </c>
      <c r="G528" t="s">
        <v>1</v>
      </c>
      <c r="H528" t="s">
        <v>213</v>
      </c>
      <c r="I528" t="s">
        <v>81</v>
      </c>
      <c r="J528" t="s">
        <v>4</v>
      </c>
      <c r="K528">
        <v>60706</v>
      </c>
      <c r="L528" t="s">
        <v>61</v>
      </c>
      <c r="M528" t="s">
        <v>195</v>
      </c>
      <c r="N528" s="2">
        <v>0.75</v>
      </c>
      <c r="O528" s="2">
        <v>0.75138888888888888</v>
      </c>
      <c r="P528" s="2">
        <v>0.75486111111111109</v>
      </c>
      <c r="Q528" s="2">
        <v>0.77638888888888891</v>
      </c>
      <c r="R528" s="2">
        <v>0.78125</v>
      </c>
      <c r="S528" s="2">
        <v>0.8125</v>
      </c>
      <c r="T528" t="s">
        <v>7</v>
      </c>
      <c r="U528" t="s">
        <v>251</v>
      </c>
      <c r="V528" t="s">
        <v>24</v>
      </c>
      <c r="X528" t="s">
        <v>200</v>
      </c>
      <c r="Y528" t="s">
        <v>210</v>
      </c>
      <c r="Z528">
        <v>1</v>
      </c>
      <c r="AA528">
        <v>4</v>
      </c>
      <c r="AB528" t="s">
        <v>11</v>
      </c>
      <c r="AC528" t="s">
        <v>12</v>
      </c>
      <c r="AD528" t="s">
        <v>13</v>
      </c>
      <c r="AE528" t="s">
        <v>29</v>
      </c>
      <c r="AF528" s="1">
        <v>25103</v>
      </c>
      <c r="AG528">
        <f t="shared" ca="1" si="26"/>
        <v>57</v>
      </c>
    </row>
    <row r="529" spans="1:33" x14ac:dyDescent="0.2">
      <c r="A529" s="1">
        <v>46024</v>
      </c>
      <c r="B529" t="str">
        <f t="shared" si="24"/>
        <v>vendredi</v>
      </c>
      <c r="C529" t="str">
        <f t="shared" si="25"/>
        <v>Jour</v>
      </c>
      <c r="D529">
        <v>1500375</v>
      </c>
      <c r="E529">
        <v>2583715</v>
      </c>
      <c r="F529" t="s">
        <v>15</v>
      </c>
      <c r="G529" t="s">
        <v>1</v>
      </c>
      <c r="H529" t="s">
        <v>203</v>
      </c>
      <c r="I529" t="s">
        <v>111</v>
      </c>
      <c r="J529" t="s">
        <v>4</v>
      </c>
      <c r="K529">
        <v>60704</v>
      </c>
      <c r="L529" t="s">
        <v>5</v>
      </c>
      <c r="M529" t="s">
        <v>253</v>
      </c>
      <c r="N529" s="2">
        <v>0.67638888888888893</v>
      </c>
      <c r="O529" s="2">
        <v>0.67708333333333337</v>
      </c>
      <c r="P529" s="2">
        <v>0.67986111111111114</v>
      </c>
      <c r="Q529" s="2">
        <v>0.68263888888888891</v>
      </c>
      <c r="R529" s="2">
        <v>0.7319444444444444</v>
      </c>
      <c r="S529" s="2">
        <v>0.75694444444444442</v>
      </c>
      <c r="T529" t="s">
        <v>7</v>
      </c>
      <c r="U529" t="s">
        <v>32</v>
      </c>
      <c r="V529" t="s">
        <v>8</v>
      </c>
      <c r="X529" t="s">
        <v>252</v>
      </c>
      <c r="Y529" t="s">
        <v>48</v>
      </c>
      <c r="Z529">
        <v>3</v>
      </c>
      <c r="AA529">
        <v>2</v>
      </c>
      <c r="AB529" t="s">
        <v>11</v>
      </c>
      <c r="AC529" t="s">
        <v>12</v>
      </c>
      <c r="AD529" t="s">
        <v>113</v>
      </c>
      <c r="AE529" t="s">
        <v>14</v>
      </c>
      <c r="AF529" s="1">
        <v>18353</v>
      </c>
      <c r="AG529">
        <f t="shared" ca="1" si="26"/>
        <v>75</v>
      </c>
    </row>
    <row r="530" spans="1:33" x14ac:dyDescent="0.2">
      <c r="A530" s="1">
        <v>46024</v>
      </c>
      <c r="B530" t="str">
        <f t="shared" si="24"/>
        <v>vendredi</v>
      </c>
      <c r="C530" t="str">
        <f t="shared" si="25"/>
        <v>Jour</v>
      </c>
      <c r="D530">
        <v>1500374</v>
      </c>
      <c r="E530">
        <v>2583660</v>
      </c>
      <c r="F530" t="s">
        <v>15</v>
      </c>
      <c r="G530" t="s">
        <v>1</v>
      </c>
      <c r="H530" t="s">
        <v>111</v>
      </c>
      <c r="I530" t="s">
        <v>203</v>
      </c>
      <c r="J530" t="s">
        <v>4</v>
      </c>
      <c r="K530">
        <v>60704</v>
      </c>
      <c r="L530" t="s">
        <v>61</v>
      </c>
      <c r="M530" t="s">
        <v>253</v>
      </c>
      <c r="N530" s="2">
        <v>0.56319444444444444</v>
      </c>
      <c r="O530" s="2">
        <v>0.56388888888888888</v>
      </c>
      <c r="P530" s="2">
        <v>0.56736111111111109</v>
      </c>
      <c r="Q530" s="2">
        <v>0.60763888888888884</v>
      </c>
      <c r="R530" s="2">
        <v>0.61250000000000004</v>
      </c>
      <c r="S530" s="2">
        <v>0.6430555555555556</v>
      </c>
      <c r="T530" t="s">
        <v>7</v>
      </c>
      <c r="U530" t="s">
        <v>263</v>
      </c>
      <c r="V530" t="s">
        <v>8</v>
      </c>
      <c r="X530" t="s">
        <v>190</v>
      </c>
      <c r="Y530" t="s">
        <v>191</v>
      </c>
      <c r="Z530">
        <v>2</v>
      </c>
      <c r="AA530">
        <v>4</v>
      </c>
      <c r="AB530" t="s">
        <v>11</v>
      </c>
      <c r="AC530" t="s">
        <v>12</v>
      </c>
      <c r="AD530" t="s">
        <v>212</v>
      </c>
      <c r="AE530" t="s">
        <v>29</v>
      </c>
      <c r="AF530" s="1">
        <v>34192</v>
      </c>
      <c r="AG530">
        <f t="shared" ca="1" si="26"/>
        <v>32</v>
      </c>
    </row>
    <row r="531" spans="1:33" x14ac:dyDescent="0.2">
      <c r="A531" s="1">
        <v>46024</v>
      </c>
      <c r="B531" t="str">
        <f t="shared" si="24"/>
        <v>vendredi</v>
      </c>
      <c r="C531" t="str">
        <f t="shared" si="25"/>
        <v>Jour</v>
      </c>
      <c r="D531">
        <v>1500328</v>
      </c>
      <c r="E531">
        <v>2583707</v>
      </c>
      <c r="F531" t="s">
        <v>25</v>
      </c>
      <c r="G531" t="s">
        <v>25</v>
      </c>
      <c r="H531" t="s">
        <v>197</v>
      </c>
      <c r="I531" t="s">
        <v>57</v>
      </c>
      <c r="J531" t="s">
        <v>4</v>
      </c>
      <c r="K531">
        <v>60709</v>
      </c>
      <c r="L531" t="s">
        <v>5</v>
      </c>
      <c r="M531" t="s">
        <v>6</v>
      </c>
      <c r="N531" s="2">
        <v>0.65972222222222221</v>
      </c>
      <c r="O531" s="2">
        <v>0.66249999999999998</v>
      </c>
      <c r="P531" s="2">
        <v>0.66597222222222219</v>
      </c>
      <c r="Q531" s="2">
        <v>0.69444444444444442</v>
      </c>
      <c r="R531" s="2">
        <v>0.7</v>
      </c>
      <c r="S531" s="2">
        <v>0.72222222222222221</v>
      </c>
      <c r="T531" t="s">
        <v>7</v>
      </c>
      <c r="U531" t="s">
        <v>263</v>
      </c>
      <c r="V531" t="s">
        <v>8</v>
      </c>
      <c r="X531" t="s">
        <v>190</v>
      </c>
      <c r="Y531" t="s">
        <v>191</v>
      </c>
      <c r="Z531">
        <v>1</v>
      </c>
      <c r="AA531">
        <v>4</v>
      </c>
      <c r="AB531" t="s">
        <v>11</v>
      </c>
      <c r="AC531" t="s">
        <v>12</v>
      </c>
      <c r="AD531" t="s">
        <v>212</v>
      </c>
      <c r="AE531" t="s">
        <v>14</v>
      </c>
      <c r="AF531" s="1">
        <v>17272</v>
      </c>
      <c r="AG531">
        <f t="shared" ca="1" si="26"/>
        <v>78</v>
      </c>
    </row>
    <row r="532" spans="1:33" x14ac:dyDescent="0.2">
      <c r="A532" s="1">
        <v>46024</v>
      </c>
      <c r="B532" t="str">
        <f t="shared" si="24"/>
        <v>vendredi</v>
      </c>
      <c r="C532" t="str">
        <f t="shared" si="25"/>
        <v>Jour</v>
      </c>
      <c r="D532">
        <v>1500440</v>
      </c>
      <c r="E532">
        <v>2583669</v>
      </c>
      <c r="F532" t="s">
        <v>21</v>
      </c>
      <c r="G532" t="s">
        <v>1</v>
      </c>
      <c r="H532" t="s">
        <v>213</v>
      </c>
      <c r="I532" t="s">
        <v>81</v>
      </c>
      <c r="J532" t="s">
        <v>4</v>
      </c>
      <c r="K532">
        <v>60706</v>
      </c>
      <c r="L532" t="s">
        <v>5</v>
      </c>
      <c r="M532" t="s">
        <v>6</v>
      </c>
      <c r="N532" s="2">
        <v>0.57916666666666672</v>
      </c>
      <c r="O532" s="2">
        <v>0.58194444444444449</v>
      </c>
      <c r="P532" s="2">
        <v>0.58402777777777781</v>
      </c>
      <c r="Q532" s="2">
        <v>0.59236111111111112</v>
      </c>
      <c r="R532" s="2">
        <v>0.59652777777777777</v>
      </c>
      <c r="S532" s="2">
        <v>0.625</v>
      </c>
      <c r="T532" t="s">
        <v>24</v>
      </c>
      <c r="U532" t="s">
        <v>265</v>
      </c>
      <c r="V532" t="s">
        <v>8</v>
      </c>
      <c r="X532" t="s">
        <v>190</v>
      </c>
      <c r="Y532" t="s">
        <v>191</v>
      </c>
      <c r="Z532">
        <v>2</v>
      </c>
      <c r="AA532">
        <v>4</v>
      </c>
      <c r="AB532" t="s">
        <v>11</v>
      </c>
      <c r="AC532" t="s">
        <v>12</v>
      </c>
      <c r="AD532" t="s">
        <v>212</v>
      </c>
      <c r="AE532" t="s">
        <v>29</v>
      </c>
      <c r="AF532" s="1">
        <v>13366</v>
      </c>
      <c r="AG532">
        <f t="shared" ca="1" si="26"/>
        <v>89</v>
      </c>
    </row>
    <row r="533" spans="1:33" x14ac:dyDescent="0.2">
      <c r="A533" s="1">
        <v>46024</v>
      </c>
      <c r="B533" t="str">
        <f t="shared" si="24"/>
        <v>vendredi</v>
      </c>
      <c r="C533" t="str">
        <f t="shared" si="25"/>
        <v>Jour</v>
      </c>
      <c r="D533">
        <v>1500373</v>
      </c>
      <c r="E533">
        <v>2583601</v>
      </c>
      <c r="F533" t="s">
        <v>15</v>
      </c>
      <c r="G533" t="s">
        <v>1</v>
      </c>
      <c r="H533" t="s">
        <v>203</v>
      </c>
      <c r="I533" t="s">
        <v>111</v>
      </c>
      <c r="J533" t="s">
        <v>4</v>
      </c>
      <c r="K533">
        <v>60704</v>
      </c>
      <c r="L533" t="s">
        <v>5</v>
      </c>
      <c r="M533" t="s">
        <v>6</v>
      </c>
      <c r="N533" s="2">
        <v>0.3972222222222222</v>
      </c>
      <c r="O533" s="2">
        <v>0.39861111111111114</v>
      </c>
      <c r="P533" s="2">
        <v>0.40347222222222223</v>
      </c>
      <c r="Q533" s="2">
        <v>0.44027777777777777</v>
      </c>
      <c r="R533" s="2">
        <v>0.44513888888888886</v>
      </c>
      <c r="S533" s="2">
        <v>0.46180555555555558</v>
      </c>
      <c r="T533" t="s">
        <v>7</v>
      </c>
      <c r="U533" t="s">
        <v>265</v>
      </c>
      <c r="V533" t="s">
        <v>24</v>
      </c>
      <c r="X533" t="s">
        <v>190</v>
      </c>
      <c r="Y533" t="s">
        <v>191</v>
      </c>
      <c r="Z533">
        <v>2</v>
      </c>
      <c r="AA533">
        <v>4</v>
      </c>
      <c r="AB533" t="s">
        <v>11</v>
      </c>
      <c r="AC533" t="s">
        <v>12</v>
      </c>
      <c r="AD533" t="s">
        <v>212</v>
      </c>
      <c r="AE533" t="s">
        <v>29</v>
      </c>
      <c r="AF533" s="1">
        <v>13366</v>
      </c>
      <c r="AG533">
        <f t="shared" ca="1" si="26"/>
        <v>89</v>
      </c>
    </row>
    <row r="534" spans="1:33" x14ac:dyDescent="0.2">
      <c r="A534" s="1">
        <v>46023</v>
      </c>
      <c r="B534" t="str">
        <f t="shared" si="24"/>
        <v>jeudi</v>
      </c>
      <c r="C534" t="str">
        <f t="shared" si="25"/>
        <v>Jour</v>
      </c>
      <c r="D534">
        <v>1500438</v>
      </c>
      <c r="E534">
        <v>2583504</v>
      </c>
      <c r="F534" t="s">
        <v>15</v>
      </c>
      <c r="G534" t="s">
        <v>16</v>
      </c>
      <c r="H534" t="s">
        <v>111</v>
      </c>
      <c r="I534" t="s">
        <v>55</v>
      </c>
      <c r="J534" t="s">
        <v>4</v>
      </c>
      <c r="K534">
        <v>60706</v>
      </c>
      <c r="L534" t="s">
        <v>5</v>
      </c>
      <c r="M534" t="s">
        <v>6</v>
      </c>
      <c r="N534" s="2">
        <v>0.76041666666666663</v>
      </c>
      <c r="O534" s="2">
        <v>0.76111111111111107</v>
      </c>
      <c r="P534" s="2">
        <v>0.76944444444444449</v>
      </c>
      <c r="Q534" s="2">
        <v>0.79027777777777775</v>
      </c>
      <c r="R534" s="2">
        <v>0.79861111111111116</v>
      </c>
      <c r="S534" s="2">
        <v>0.81597222222222221</v>
      </c>
      <c r="T534" t="s">
        <v>7</v>
      </c>
      <c r="U534" t="s">
        <v>82</v>
      </c>
      <c r="V534" t="s">
        <v>8</v>
      </c>
      <c r="X534" t="s">
        <v>206</v>
      </c>
      <c r="Y534" t="s">
        <v>191</v>
      </c>
      <c r="Z534">
        <v>2</v>
      </c>
      <c r="AA534">
        <v>3</v>
      </c>
      <c r="AB534" t="s">
        <v>11</v>
      </c>
      <c r="AC534" t="s">
        <v>12</v>
      </c>
      <c r="AD534" t="s">
        <v>20</v>
      </c>
      <c r="AE534" t="s">
        <v>29</v>
      </c>
      <c r="AF534" s="1">
        <v>16430</v>
      </c>
      <c r="AG534">
        <f t="shared" ca="1" si="26"/>
        <v>81</v>
      </c>
    </row>
    <row r="535" spans="1:33" x14ac:dyDescent="0.2">
      <c r="A535" s="1">
        <v>46024</v>
      </c>
      <c r="B535" t="str">
        <f t="shared" si="24"/>
        <v>vendredi</v>
      </c>
      <c r="C535" t="str">
        <f t="shared" si="25"/>
        <v>Jour</v>
      </c>
      <c r="D535">
        <v>1500439</v>
      </c>
      <c r="E535">
        <v>2583615</v>
      </c>
      <c r="F535" t="s">
        <v>21</v>
      </c>
      <c r="G535" t="s">
        <v>16</v>
      </c>
      <c r="H535" t="s">
        <v>81</v>
      </c>
      <c r="I535" t="s">
        <v>213</v>
      </c>
      <c r="J535" t="s">
        <v>4</v>
      </c>
      <c r="K535">
        <v>60706</v>
      </c>
      <c r="L535" t="s">
        <v>5</v>
      </c>
      <c r="M535" t="s">
        <v>6</v>
      </c>
      <c r="N535" s="2">
        <v>0.43055555555555558</v>
      </c>
      <c r="O535" s="2">
        <v>0.43194444444444446</v>
      </c>
      <c r="P535" s="2">
        <v>0.43888888888888888</v>
      </c>
      <c r="Q535" s="2">
        <v>0.45416666666666666</v>
      </c>
      <c r="R535" s="2">
        <v>0.46597222222222223</v>
      </c>
      <c r="S535" s="2">
        <v>0.48749999999999999</v>
      </c>
      <c r="T535" t="s">
        <v>43</v>
      </c>
      <c r="U535" t="s">
        <v>251</v>
      </c>
      <c r="V535" t="s">
        <v>8</v>
      </c>
      <c r="X535" t="s">
        <v>209</v>
      </c>
      <c r="Y535" t="s">
        <v>80</v>
      </c>
      <c r="Z535">
        <v>2</v>
      </c>
      <c r="AA535">
        <v>2</v>
      </c>
      <c r="AB535" t="s">
        <v>11</v>
      </c>
      <c r="AC535" t="s">
        <v>12</v>
      </c>
      <c r="AD535" t="s">
        <v>20</v>
      </c>
      <c r="AE535" t="s">
        <v>29</v>
      </c>
      <c r="AF535" s="1">
        <v>13637</v>
      </c>
      <c r="AG535">
        <f t="shared" ca="1" si="26"/>
        <v>88</v>
      </c>
    </row>
    <row r="536" spans="1:33" x14ac:dyDescent="0.2">
      <c r="A536" s="1">
        <v>46023</v>
      </c>
      <c r="B536" t="str">
        <f t="shared" si="24"/>
        <v>jeudi</v>
      </c>
      <c r="C536" t="str">
        <f t="shared" si="25"/>
        <v>Jour</v>
      </c>
      <c r="D536">
        <v>1500436</v>
      </c>
      <c r="E536">
        <v>2583439</v>
      </c>
      <c r="F536" t="s">
        <v>15</v>
      </c>
      <c r="G536" t="s">
        <v>16</v>
      </c>
      <c r="H536" t="s">
        <v>111</v>
      </c>
      <c r="I536" t="s">
        <v>55</v>
      </c>
      <c r="J536" t="s">
        <v>4</v>
      </c>
      <c r="K536">
        <v>60706</v>
      </c>
      <c r="L536" t="s">
        <v>5</v>
      </c>
      <c r="M536" t="s">
        <v>6</v>
      </c>
      <c r="N536" s="2">
        <v>0.54513888888888884</v>
      </c>
      <c r="O536" s="2">
        <v>0.54583333333333328</v>
      </c>
      <c r="P536" s="2">
        <v>0.55208333333333337</v>
      </c>
      <c r="Q536" s="2">
        <v>0.56874999999999998</v>
      </c>
      <c r="R536" s="2">
        <v>0.57708333333333328</v>
      </c>
      <c r="S536" s="2">
        <v>0.60555555555555551</v>
      </c>
      <c r="T536" t="s">
        <v>43</v>
      </c>
      <c r="U536" t="s">
        <v>251</v>
      </c>
      <c r="V536" t="s">
        <v>8</v>
      </c>
      <c r="X536" t="s">
        <v>252</v>
      </c>
      <c r="Y536" t="s">
        <v>48</v>
      </c>
      <c r="Z536">
        <v>2</v>
      </c>
      <c r="AA536">
        <v>3</v>
      </c>
      <c r="AB536" t="s">
        <v>11</v>
      </c>
      <c r="AC536" t="s">
        <v>12</v>
      </c>
      <c r="AD536" t="s">
        <v>20</v>
      </c>
      <c r="AE536" t="s">
        <v>29</v>
      </c>
      <c r="AF536" s="1">
        <v>17679</v>
      </c>
      <c r="AG536">
        <f t="shared" ca="1" si="26"/>
        <v>77</v>
      </c>
    </row>
    <row r="537" spans="1:33" x14ac:dyDescent="0.2">
      <c r="A537" s="1">
        <v>46024</v>
      </c>
      <c r="B537" t="str">
        <f t="shared" si="24"/>
        <v>vendredi</v>
      </c>
      <c r="C537" t="str">
        <f t="shared" si="25"/>
        <v>Jour</v>
      </c>
      <c r="D537">
        <v>1500326</v>
      </c>
      <c r="E537">
        <v>2583582</v>
      </c>
      <c r="F537" t="s">
        <v>25</v>
      </c>
      <c r="G537" t="s">
        <v>25</v>
      </c>
      <c r="H537" t="s">
        <v>197</v>
      </c>
      <c r="I537" t="s">
        <v>57</v>
      </c>
      <c r="J537" t="s">
        <v>50</v>
      </c>
      <c r="K537">
        <v>60709</v>
      </c>
      <c r="L537" t="s">
        <v>5</v>
      </c>
      <c r="M537" t="s">
        <v>6</v>
      </c>
      <c r="N537" s="2">
        <v>0.32708333333333334</v>
      </c>
      <c r="O537" s="2">
        <v>0.33194444444444443</v>
      </c>
      <c r="P537" s="2">
        <v>0.34027777777777779</v>
      </c>
      <c r="Q537" s="2">
        <v>0.36319444444444443</v>
      </c>
      <c r="R537" s="2">
        <v>0.375</v>
      </c>
      <c r="S537" s="2">
        <v>0.3888888888888889</v>
      </c>
      <c r="T537" t="s">
        <v>38</v>
      </c>
      <c r="U537" t="s">
        <v>18</v>
      </c>
      <c r="V537" t="s">
        <v>8</v>
      </c>
      <c r="X537" t="s">
        <v>74</v>
      </c>
      <c r="Y537" t="s">
        <v>257</v>
      </c>
      <c r="Z537">
        <v>3</v>
      </c>
      <c r="AA537">
        <v>3</v>
      </c>
      <c r="AB537" t="s">
        <v>11</v>
      </c>
      <c r="AC537" t="s">
        <v>28</v>
      </c>
      <c r="AD537" t="s">
        <v>20</v>
      </c>
      <c r="AE537" t="s">
        <v>14</v>
      </c>
      <c r="AF537" s="1">
        <v>14328</v>
      </c>
      <c r="AG537">
        <f t="shared" ca="1" si="26"/>
        <v>86</v>
      </c>
    </row>
    <row r="538" spans="1:33" x14ac:dyDescent="0.2">
      <c r="A538" s="1">
        <v>46023</v>
      </c>
      <c r="B538" t="str">
        <f t="shared" si="24"/>
        <v>jeudi</v>
      </c>
      <c r="C538" t="str">
        <f t="shared" si="25"/>
        <v>Jour</v>
      </c>
      <c r="D538">
        <v>1494158</v>
      </c>
      <c r="E538">
        <v>2583515</v>
      </c>
      <c r="F538" t="s">
        <v>45</v>
      </c>
      <c r="G538" t="s">
        <v>1</v>
      </c>
      <c r="H538" t="s">
        <v>2</v>
      </c>
      <c r="I538" t="s">
        <v>37</v>
      </c>
      <c r="J538" t="s">
        <v>4</v>
      </c>
      <c r="K538">
        <v>60708</v>
      </c>
      <c r="L538" t="s">
        <v>61</v>
      </c>
      <c r="M538" t="s">
        <v>195</v>
      </c>
      <c r="N538" s="2">
        <v>0.79652777777777772</v>
      </c>
      <c r="O538" s="2">
        <v>0.79791666666666672</v>
      </c>
      <c r="P538" s="2">
        <v>0.80625000000000002</v>
      </c>
      <c r="Q538" s="2">
        <v>0.82638888888888884</v>
      </c>
      <c r="R538" s="2">
        <v>0.8354166666666667</v>
      </c>
      <c r="S538" s="2">
        <v>0.86458333333333337</v>
      </c>
      <c r="T538" t="s">
        <v>7</v>
      </c>
      <c r="U538" t="s">
        <v>18</v>
      </c>
      <c r="V538" t="s">
        <v>8</v>
      </c>
      <c r="X538" t="s">
        <v>190</v>
      </c>
      <c r="Y538" t="s">
        <v>191</v>
      </c>
      <c r="Z538">
        <v>1</v>
      </c>
      <c r="AA538">
        <v>5</v>
      </c>
      <c r="AB538" t="s">
        <v>11</v>
      </c>
      <c r="AC538" t="s">
        <v>12</v>
      </c>
      <c r="AD538" t="s">
        <v>212</v>
      </c>
      <c r="AE538" t="s">
        <v>29</v>
      </c>
      <c r="AF538" s="1">
        <v>15277</v>
      </c>
      <c r="AG538">
        <f t="shared" ca="1" si="26"/>
        <v>84</v>
      </c>
    </row>
    <row r="539" spans="1:33" x14ac:dyDescent="0.2">
      <c r="A539" s="1">
        <v>46023</v>
      </c>
      <c r="B539" t="str">
        <f t="shared" si="24"/>
        <v>jeudi</v>
      </c>
      <c r="C539" t="str">
        <f t="shared" si="25"/>
        <v>Jour</v>
      </c>
      <c r="D539">
        <v>1500371</v>
      </c>
      <c r="E539">
        <v>2583518</v>
      </c>
      <c r="F539" t="s">
        <v>0</v>
      </c>
      <c r="G539" t="s">
        <v>16</v>
      </c>
      <c r="H539" t="s">
        <v>41</v>
      </c>
      <c r="I539" t="s">
        <v>103</v>
      </c>
      <c r="J539" t="s">
        <v>4</v>
      </c>
      <c r="K539">
        <v>60704</v>
      </c>
      <c r="L539" t="s">
        <v>5</v>
      </c>
      <c r="M539" t="s">
        <v>6</v>
      </c>
      <c r="N539" s="2">
        <v>0.80972222222222223</v>
      </c>
      <c r="O539" s="2">
        <v>0.81111111111111112</v>
      </c>
      <c r="P539" s="2">
        <v>0.81874999999999998</v>
      </c>
      <c r="Q539" s="2">
        <v>0.82847222222222228</v>
      </c>
      <c r="R539" s="2">
        <v>0.83402777777777781</v>
      </c>
      <c r="S539" s="2">
        <v>0.84722222222222221</v>
      </c>
      <c r="T539" t="s">
        <v>86</v>
      </c>
      <c r="U539" t="s">
        <v>265</v>
      </c>
      <c r="V539" t="s">
        <v>8</v>
      </c>
      <c r="X539" t="s">
        <v>190</v>
      </c>
      <c r="Y539" t="s">
        <v>191</v>
      </c>
      <c r="Z539">
        <v>2</v>
      </c>
      <c r="AA539">
        <v>3</v>
      </c>
      <c r="AB539" t="s">
        <v>11</v>
      </c>
      <c r="AC539" t="s">
        <v>12</v>
      </c>
      <c r="AD539" t="s">
        <v>20</v>
      </c>
      <c r="AE539" t="s">
        <v>29</v>
      </c>
      <c r="AF539" s="1">
        <v>18313</v>
      </c>
      <c r="AG539">
        <f t="shared" ca="1" si="26"/>
        <v>75</v>
      </c>
    </row>
    <row r="540" spans="1:33" x14ac:dyDescent="0.2">
      <c r="A540" s="1">
        <v>46023</v>
      </c>
      <c r="B540" t="str">
        <f t="shared" si="24"/>
        <v>jeudi</v>
      </c>
      <c r="C540" t="str">
        <f t="shared" si="25"/>
        <v>Jour</v>
      </c>
      <c r="D540">
        <v>1500370</v>
      </c>
      <c r="E540">
        <v>2583447</v>
      </c>
      <c r="F540" t="s">
        <v>25</v>
      </c>
      <c r="G540" t="s">
        <v>25</v>
      </c>
      <c r="H540" t="s">
        <v>115</v>
      </c>
      <c r="I540" t="s">
        <v>197</v>
      </c>
      <c r="J540" t="s">
        <v>4</v>
      </c>
      <c r="K540">
        <v>60704</v>
      </c>
      <c r="L540" t="s">
        <v>5</v>
      </c>
      <c r="M540" t="s">
        <v>6</v>
      </c>
      <c r="N540" s="2">
        <v>0.58125000000000004</v>
      </c>
      <c r="O540" s="2">
        <v>0.5854166666666667</v>
      </c>
      <c r="P540" s="2">
        <v>0.58680555555555558</v>
      </c>
      <c r="Q540" s="2">
        <v>0.59375</v>
      </c>
      <c r="R540" s="2">
        <v>0.60277777777777775</v>
      </c>
      <c r="S540" s="2">
        <v>0.61805555555555558</v>
      </c>
      <c r="T540" t="s">
        <v>24</v>
      </c>
      <c r="U540" t="s">
        <v>265</v>
      </c>
      <c r="V540" t="s">
        <v>8</v>
      </c>
      <c r="X540" t="s">
        <v>74</v>
      </c>
      <c r="Y540" t="s">
        <v>75</v>
      </c>
      <c r="Z540">
        <v>2</v>
      </c>
      <c r="AA540">
        <v>3</v>
      </c>
      <c r="AB540" t="s">
        <v>11</v>
      </c>
      <c r="AC540" t="s">
        <v>28</v>
      </c>
      <c r="AD540" t="s">
        <v>20</v>
      </c>
      <c r="AE540" t="s">
        <v>14</v>
      </c>
      <c r="AF540" s="1">
        <v>20908</v>
      </c>
      <c r="AG540">
        <f t="shared" ca="1" si="26"/>
        <v>68</v>
      </c>
    </row>
    <row r="541" spans="1:33" x14ac:dyDescent="0.2">
      <c r="A541" s="1">
        <v>46023</v>
      </c>
      <c r="B541" t="str">
        <f t="shared" si="24"/>
        <v>jeudi</v>
      </c>
      <c r="C541" t="str">
        <f t="shared" si="25"/>
        <v>Jour</v>
      </c>
      <c r="D541">
        <v>1500369</v>
      </c>
      <c r="E541">
        <v>2583426</v>
      </c>
      <c r="F541" t="s">
        <v>25</v>
      </c>
      <c r="G541" t="s">
        <v>25</v>
      </c>
      <c r="H541" t="s">
        <v>197</v>
      </c>
      <c r="I541" t="s">
        <v>115</v>
      </c>
      <c r="J541" t="s">
        <v>4</v>
      </c>
      <c r="K541">
        <v>60704</v>
      </c>
      <c r="L541" t="s">
        <v>5</v>
      </c>
      <c r="M541" t="s">
        <v>6</v>
      </c>
      <c r="N541" s="2">
        <v>0.50069444444444444</v>
      </c>
      <c r="O541" s="2">
        <v>0.50486111111111109</v>
      </c>
      <c r="P541" s="2">
        <v>0.5131944444444444</v>
      </c>
      <c r="Q541" s="2">
        <v>0.54722222222222228</v>
      </c>
      <c r="R541" s="2">
        <v>0.55694444444444446</v>
      </c>
      <c r="S541" s="2">
        <v>0.56597222222222221</v>
      </c>
      <c r="T541" t="s">
        <v>7</v>
      </c>
      <c r="U541" t="s">
        <v>18</v>
      </c>
      <c r="V541" t="s">
        <v>24</v>
      </c>
      <c r="X541" t="s">
        <v>206</v>
      </c>
      <c r="Y541" t="s">
        <v>207</v>
      </c>
      <c r="Z541">
        <v>3</v>
      </c>
      <c r="AA541">
        <v>3</v>
      </c>
      <c r="AB541" t="s">
        <v>11</v>
      </c>
      <c r="AC541" t="s">
        <v>12</v>
      </c>
      <c r="AD541" t="s">
        <v>20</v>
      </c>
      <c r="AE541" t="s">
        <v>14</v>
      </c>
      <c r="AF541" s="1">
        <v>14710</v>
      </c>
      <c r="AG541">
        <f t="shared" ca="1" si="26"/>
        <v>85</v>
      </c>
    </row>
    <row r="542" spans="1:33" x14ac:dyDescent="0.2">
      <c r="A542" s="1">
        <v>46023</v>
      </c>
      <c r="B542" t="str">
        <f t="shared" si="24"/>
        <v>jeudi</v>
      </c>
      <c r="C542" t="str">
        <f t="shared" si="25"/>
        <v>Jour</v>
      </c>
      <c r="D542">
        <v>1494157</v>
      </c>
      <c r="E542">
        <v>2583438</v>
      </c>
      <c r="F542" t="s">
        <v>21</v>
      </c>
      <c r="G542" t="s">
        <v>16</v>
      </c>
      <c r="H542" t="s">
        <v>213</v>
      </c>
      <c r="I542" t="s">
        <v>49</v>
      </c>
      <c r="J542" t="s">
        <v>4</v>
      </c>
      <c r="K542">
        <v>60708</v>
      </c>
      <c r="L542" t="s">
        <v>5</v>
      </c>
      <c r="M542" t="s">
        <v>6</v>
      </c>
      <c r="N542" s="2">
        <v>0.54861111111111116</v>
      </c>
      <c r="O542" s="2">
        <v>0.55069444444444449</v>
      </c>
      <c r="P542" s="2">
        <v>0.55694444444444446</v>
      </c>
      <c r="Q542" s="2">
        <v>0.56666666666666665</v>
      </c>
      <c r="R542" s="2">
        <v>0.57291666666666663</v>
      </c>
      <c r="S542" s="2">
        <v>0.60416666666666663</v>
      </c>
      <c r="T542" t="s">
        <v>43</v>
      </c>
      <c r="U542" t="s">
        <v>251</v>
      </c>
      <c r="V542" t="s">
        <v>8</v>
      </c>
      <c r="X542" t="s">
        <v>9</v>
      </c>
      <c r="Y542" t="s">
        <v>48</v>
      </c>
      <c r="Z542">
        <v>3</v>
      </c>
      <c r="AA542">
        <v>2</v>
      </c>
      <c r="AB542" t="s">
        <v>11</v>
      </c>
      <c r="AC542" t="s">
        <v>12</v>
      </c>
      <c r="AD542" t="s">
        <v>20</v>
      </c>
      <c r="AE542" t="s">
        <v>14</v>
      </c>
      <c r="AF542" s="1">
        <v>29259</v>
      </c>
      <c r="AG542">
        <f t="shared" ca="1" si="26"/>
        <v>46</v>
      </c>
    </row>
    <row r="543" spans="1:33" x14ac:dyDescent="0.2">
      <c r="A543" s="1">
        <v>46023</v>
      </c>
      <c r="B543" t="str">
        <f t="shared" si="24"/>
        <v>jeudi</v>
      </c>
      <c r="C543" t="str">
        <f t="shared" si="25"/>
        <v>Nuit</v>
      </c>
      <c r="D543">
        <v>1494155</v>
      </c>
      <c r="E543">
        <v>2583334</v>
      </c>
      <c r="F543" t="s">
        <v>45</v>
      </c>
      <c r="G543" t="s">
        <v>16</v>
      </c>
      <c r="H543" t="s">
        <v>63</v>
      </c>
      <c r="I543" t="s">
        <v>23</v>
      </c>
      <c r="J543" t="s">
        <v>4</v>
      </c>
      <c r="K543">
        <v>60708</v>
      </c>
      <c r="L543" t="s">
        <v>5</v>
      </c>
      <c r="M543" t="s">
        <v>6</v>
      </c>
      <c r="N543" s="2">
        <v>0.18402777777777779</v>
      </c>
      <c r="O543" s="2">
        <v>0.18611111111111112</v>
      </c>
      <c r="P543" s="2">
        <v>0.18888888888888888</v>
      </c>
      <c r="Q543" s="2">
        <v>0.19166666666666668</v>
      </c>
      <c r="R543" s="2">
        <v>0.19513888888888889</v>
      </c>
      <c r="S543" s="2">
        <v>0.20833333333333334</v>
      </c>
      <c r="T543" t="s">
        <v>43</v>
      </c>
      <c r="U543" t="s">
        <v>251</v>
      </c>
      <c r="V543" t="s">
        <v>8</v>
      </c>
      <c r="X543" t="s">
        <v>200</v>
      </c>
      <c r="Y543" t="s">
        <v>51</v>
      </c>
      <c r="Z543">
        <v>3</v>
      </c>
      <c r="AA543">
        <v>2</v>
      </c>
      <c r="AB543" t="s">
        <v>11</v>
      </c>
      <c r="AC543" t="s">
        <v>12</v>
      </c>
      <c r="AD543" t="s">
        <v>20</v>
      </c>
      <c r="AE543" t="s">
        <v>29</v>
      </c>
      <c r="AF543" s="1">
        <v>35377</v>
      </c>
      <c r="AG543">
        <f t="shared" ca="1" si="26"/>
        <v>29</v>
      </c>
    </row>
    <row r="544" spans="1:33" x14ac:dyDescent="0.2">
      <c r="A544" s="1">
        <v>46023</v>
      </c>
      <c r="B544" t="str">
        <f t="shared" si="24"/>
        <v>jeudi</v>
      </c>
      <c r="C544" t="str">
        <f t="shared" si="25"/>
        <v>Nuit</v>
      </c>
      <c r="D544">
        <v>1500325</v>
      </c>
      <c r="E544">
        <v>2583347</v>
      </c>
      <c r="F544" t="s">
        <v>0</v>
      </c>
      <c r="G544" t="s">
        <v>16</v>
      </c>
      <c r="H544" t="s">
        <v>37</v>
      </c>
      <c r="I544" t="s">
        <v>22</v>
      </c>
      <c r="J544" t="s">
        <v>4</v>
      </c>
      <c r="K544">
        <v>60709</v>
      </c>
      <c r="L544" t="s">
        <v>5</v>
      </c>
      <c r="M544" t="s">
        <v>6</v>
      </c>
      <c r="N544" s="2">
        <v>0.26111111111111113</v>
      </c>
      <c r="O544" s="2">
        <v>0.26250000000000001</v>
      </c>
      <c r="P544" s="2">
        <v>0.26527777777777778</v>
      </c>
      <c r="Q544" s="2">
        <v>0.27916666666666667</v>
      </c>
      <c r="R544" s="2">
        <v>0.28888888888888886</v>
      </c>
      <c r="S544" s="2">
        <v>0.30972222222222223</v>
      </c>
      <c r="T544" t="s">
        <v>7</v>
      </c>
      <c r="U544" t="s">
        <v>32</v>
      </c>
      <c r="V544" t="s">
        <v>8</v>
      </c>
      <c r="X544" t="s">
        <v>190</v>
      </c>
      <c r="Y544" t="s">
        <v>191</v>
      </c>
      <c r="Z544">
        <v>2</v>
      </c>
      <c r="AA544">
        <v>3</v>
      </c>
      <c r="AB544" t="s">
        <v>11</v>
      </c>
      <c r="AC544" t="s">
        <v>12</v>
      </c>
      <c r="AD544" t="s">
        <v>212</v>
      </c>
      <c r="AE544" t="s">
        <v>14</v>
      </c>
      <c r="AF544" s="1">
        <v>22607</v>
      </c>
      <c r="AG544">
        <f t="shared" ca="1" si="26"/>
        <v>64</v>
      </c>
    </row>
    <row r="545" spans="1:33" x14ac:dyDescent="0.2">
      <c r="A545" s="1">
        <v>46023</v>
      </c>
      <c r="B545" t="str">
        <f t="shared" si="24"/>
        <v>jeudi</v>
      </c>
      <c r="C545" t="str">
        <f t="shared" si="25"/>
        <v>Nuit</v>
      </c>
      <c r="D545">
        <v>1494154</v>
      </c>
      <c r="E545">
        <v>2583315</v>
      </c>
      <c r="F545" t="s">
        <v>45</v>
      </c>
      <c r="G545" t="s">
        <v>16</v>
      </c>
      <c r="H545" t="s">
        <v>23</v>
      </c>
      <c r="I545" t="s">
        <v>63</v>
      </c>
      <c r="J545" t="s">
        <v>4</v>
      </c>
      <c r="K545">
        <v>60708</v>
      </c>
      <c r="L545" t="s">
        <v>5</v>
      </c>
      <c r="M545" t="s">
        <v>6</v>
      </c>
      <c r="N545" s="2">
        <v>0.11736111111111111</v>
      </c>
      <c r="O545" s="2">
        <v>0.11874999999999999</v>
      </c>
      <c r="P545" s="2">
        <v>0.12847222222222221</v>
      </c>
      <c r="Q545" s="2">
        <v>0.1361111111111111</v>
      </c>
      <c r="R545" s="2">
        <v>0.15069444444444444</v>
      </c>
      <c r="S545" s="2">
        <v>0.16875000000000001</v>
      </c>
      <c r="T545" t="s">
        <v>7</v>
      </c>
      <c r="U545" t="s">
        <v>18</v>
      </c>
      <c r="V545" t="s">
        <v>8</v>
      </c>
      <c r="X545" t="s">
        <v>200</v>
      </c>
      <c r="Y545" t="s">
        <v>51</v>
      </c>
      <c r="Z545">
        <v>3</v>
      </c>
      <c r="AA545">
        <v>1</v>
      </c>
      <c r="AB545" t="s">
        <v>11</v>
      </c>
      <c r="AC545" t="s">
        <v>12</v>
      </c>
      <c r="AD545" t="s">
        <v>20</v>
      </c>
      <c r="AE545" t="s">
        <v>14</v>
      </c>
      <c r="AF545" s="1">
        <v>38823</v>
      </c>
      <c r="AG545">
        <f t="shared" ca="1" si="26"/>
        <v>19</v>
      </c>
    </row>
    <row r="546" spans="1:33" x14ac:dyDescent="0.2">
      <c r="A546" s="1">
        <v>46023</v>
      </c>
      <c r="B546" t="str">
        <f t="shared" si="24"/>
        <v>jeudi</v>
      </c>
      <c r="C546" t="str">
        <f t="shared" si="25"/>
        <v>Nuit</v>
      </c>
      <c r="D546">
        <v>1494153</v>
      </c>
      <c r="E546">
        <v>2583278</v>
      </c>
      <c r="F546" t="s">
        <v>45</v>
      </c>
      <c r="G546" t="s">
        <v>16</v>
      </c>
      <c r="H546" t="s">
        <v>63</v>
      </c>
      <c r="I546" t="s">
        <v>23</v>
      </c>
      <c r="J546" t="s">
        <v>4</v>
      </c>
      <c r="K546">
        <v>60708</v>
      </c>
      <c r="L546" t="s">
        <v>5</v>
      </c>
      <c r="M546" t="s">
        <v>6</v>
      </c>
      <c r="N546" s="2">
        <v>1.6666666666666666E-2</v>
      </c>
      <c r="O546" s="2">
        <v>1.6666666666666666E-2</v>
      </c>
      <c r="P546" s="2">
        <v>2.4305555555555556E-2</v>
      </c>
      <c r="Q546" s="2">
        <v>3.0555555555555555E-2</v>
      </c>
      <c r="R546" s="2">
        <v>3.9583333333333331E-2</v>
      </c>
      <c r="S546" s="2">
        <v>5.5555555555555552E-2</v>
      </c>
      <c r="T546" t="s">
        <v>43</v>
      </c>
      <c r="U546" t="s">
        <v>251</v>
      </c>
      <c r="V546" t="s">
        <v>8</v>
      </c>
      <c r="X546" t="s">
        <v>200</v>
      </c>
      <c r="Y546" t="s">
        <v>51</v>
      </c>
      <c r="Z546">
        <v>2</v>
      </c>
      <c r="AA546">
        <v>2</v>
      </c>
      <c r="AB546" t="s">
        <v>11</v>
      </c>
      <c r="AC546" t="s">
        <v>12</v>
      </c>
      <c r="AD546" t="s">
        <v>20</v>
      </c>
      <c r="AE546" t="s">
        <v>29</v>
      </c>
      <c r="AF546" s="1">
        <v>39790</v>
      </c>
      <c r="AG546">
        <f t="shared" ca="1" si="26"/>
        <v>17</v>
      </c>
    </row>
    <row r="547" spans="1:33" x14ac:dyDescent="0.2">
      <c r="A547" s="1">
        <v>46023</v>
      </c>
      <c r="B547" t="str">
        <f t="shared" si="24"/>
        <v>jeudi</v>
      </c>
      <c r="C547" t="str">
        <f t="shared" si="25"/>
        <v>Nuit</v>
      </c>
      <c r="D547">
        <v>1494152</v>
      </c>
      <c r="E547">
        <v>2583245</v>
      </c>
      <c r="F547" t="s">
        <v>45</v>
      </c>
      <c r="G547" t="s">
        <v>1</v>
      </c>
      <c r="H547" t="s">
        <v>23</v>
      </c>
      <c r="I547" t="s">
        <v>63</v>
      </c>
      <c r="J547" t="s">
        <v>4</v>
      </c>
      <c r="K547">
        <v>60708</v>
      </c>
      <c r="L547" t="s">
        <v>61</v>
      </c>
      <c r="M547" t="s">
        <v>204</v>
      </c>
      <c r="N547" s="2">
        <v>0.87291666666666667</v>
      </c>
      <c r="O547" s="2">
        <v>0.87361111111111112</v>
      </c>
      <c r="P547" s="2">
        <v>0.87847222222222221</v>
      </c>
      <c r="Q547" s="2">
        <v>0.89861111111111114</v>
      </c>
      <c r="R547" s="2">
        <v>0.90763888888888888</v>
      </c>
      <c r="S547" s="2">
        <v>0.9243055555555556</v>
      </c>
      <c r="T547" t="s">
        <v>7</v>
      </c>
      <c r="U547" t="s">
        <v>102</v>
      </c>
      <c r="V547" t="s">
        <v>24</v>
      </c>
      <c r="X547" t="s">
        <v>209</v>
      </c>
      <c r="Y547" t="s">
        <v>80</v>
      </c>
      <c r="Z547">
        <v>3</v>
      </c>
      <c r="AA547">
        <v>2</v>
      </c>
      <c r="AB547" t="s">
        <v>11</v>
      </c>
      <c r="AC547" t="s">
        <v>12</v>
      </c>
      <c r="AD547" t="s">
        <v>20</v>
      </c>
      <c r="AE547" t="s">
        <v>14</v>
      </c>
      <c r="AF547" s="1">
        <v>17841</v>
      </c>
      <c r="AG547">
        <f t="shared" ca="1" si="26"/>
        <v>77</v>
      </c>
    </row>
    <row r="548" spans="1:33" x14ac:dyDescent="0.2">
      <c r="A548" s="1">
        <v>46023</v>
      </c>
      <c r="B548" t="str">
        <f t="shared" si="24"/>
        <v>jeudi</v>
      </c>
      <c r="C548" t="str">
        <f t="shared" si="25"/>
        <v>Jour</v>
      </c>
      <c r="D548">
        <v>1494151</v>
      </c>
      <c r="E548">
        <v>2583222</v>
      </c>
      <c r="F548" t="s">
        <v>45</v>
      </c>
      <c r="G548" t="s">
        <v>16</v>
      </c>
      <c r="H548" t="s">
        <v>63</v>
      </c>
      <c r="I548" t="s">
        <v>23</v>
      </c>
      <c r="J548" t="s">
        <v>4</v>
      </c>
      <c r="K548">
        <v>60708</v>
      </c>
      <c r="L548" t="s">
        <v>5</v>
      </c>
      <c r="M548" t="s">
        <v>153</v>
      </c>
      <c r="N548" s="2">
        <v>0.79722222222222228</v>
      </c>
      <c r="O548" s="2">
        <v>0.79791666666666672</v>
      </c>
      <c r="P548" s="2">
        <v>0.80694444444444446</v>
      </c>
      <c r="S548" s="2">
        <v>0.83263888888888893</v>
      </c>
      <c r="T548" t="s">
        <v>52</v>
      </c>
      <c r="U548" t="s">
        <v>251</v>
      </c>
      <c r="V548" t="s">
        <v>47</v>
      </c>
      <c r="W548" t="s">
        <v>83</v>
      </c>
      <c r="X548" t="s">
        <v>19</v>
      </c>
      <c r="Y548" t="s">
        <v>126</v>
      </c>
      <c r="Z548">
        <v>3</v>
      </c>
      <c r="AA548">
        <v>3</v>
      </c>
      <c r="AB548" t="s">
        <v>11</v>
      </c>
      <c r="AC548" t="s">
        <v>12</v>
      </c>
      <c r="AD548" t="s">
        <v>20</v>
      </c>
      <c r="AE548" t="s">
        <v>29</v>
      </c>
      <c r="AF548" s="1">
        <v>28762</v>
      </c>
      <c r="AG548">
        <f t="shared" ca="1" si="26"/>
        <v>47</v>
      </c>
    </row>
  </sheetData>
  <pageMargins left="0.78740157499999996" right="0.78740157499999996" top="0.984251969" bottom="0.984251969" header="0.4921259845" footer="0.492125984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janvier 2026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Orange</dc:creator>
  <cp:lastModifiedBy>Benjamin Orange</cp:lastModifiedBy>
  <dcterms:created xsi:type="dcterms:W3CDTF">2026-02-09T16:23:02Z</dcterms:created>
  <dcterms:modified xsi:type="dcterms:W3CDTF">2026-02-09T16:44:44Z</dcterms:modified>
</cp:coreProperties>
</file>